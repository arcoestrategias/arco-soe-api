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mc:AlternateContent xmlns:mc="http://schemas.openxmlformats.org/markup-compatibility/2006">
    <mc:Choice Requires="x15">
      <x15ac:absPath xmlns:x15ac="http://schemas.microsoft.com/office/spreadsheetml/2010/11/ac" url="https://consultoriarcoestrategias.sharepoint.com/sites/interno/Documentos compartidos/ARCOESTRATEGIAS DOCUMENTS/4-DEPARTAMENTO-TI/04_Gestion_Proyectos/04_Kanban_Tareas/"/>
    </mc:Choice>
  </mc:AlternateContent>
  <xr:revisionPtr revIDLastSave="0" documentId="8_{07116831-1FA0-4394-97CD-4C773857B539}" xr6:coauthVersionLast="47" xr6:coauthVersionMax="47" xr10:uidLastSave="{00000000-0000-0000-0000-000000000000}"/>
  <bookViews>
    <workbookView xWindow="-120" yWindow="-120" windowWidth="29040" windowHeight="15720" firstSheet="2" activeTab="2" xr2:uid="{00000000-000D-0000-FFFF-FFFF00000000}"/>
  </bookViews>
  <sheets>
    <sheet name="Consolidado" sheetId="7" r:id="rId1"/>
    <sheet name="Permisos" sheetId="8" r:id="rId2"/>
    <sheet name="Desarollo Modulos Cliente" sheetId="4" r:id="rId3"/>
    <sheet name="Desarrollos Modulos Admin" sheetId="6" r:id="rId4"/>
    <sheet name="Implementacion PONCE3" sheetId="1" r:id="rId5"/>
    <sheet name="Dominio"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7" l="1"/>
  <c r="B37" i="7"/>
  <c r="B76" i="4"/>
  <c r="B20" i="7" s="1"/>
  <c r="B40" i="4"/>
  <c r="B14" i="7" s="1"/>
  <c r="A30" i="4"/>
  <c r="B35" i="7"/>
  <c r="B43" i="7"/>
  <c r="B3" i="7"/>
  <c r="B4" i="7"/>
  <c r="B5" i="7"/>
  <c r="B6" i="7"/>
  <c r="B27" i="7"/>
  <c r="B33" i="7"/>
  <c r="B36" i="7"/>
  <c r="B44" i="7"/>
  <c r="B11" i="7"/>
  <c r="B22" i="7"/>
  <c r="B45" i="7"/>
  <c r="B47" i="7"/>
  <c r="B48" i="7"/>
  <c r="B50" i="7"/>
  <c r="B51" i="7"/>
  <c r="B1" i="6"/>
  <c r="B149" i="4"/>
  <c r="B49" i="7" s="1"/>
  <c r="B146" i="4"/>
  <c r="B46" i="7" s="1"/>
  <c r="B142" i="4"/>
  <c r="B139" i="4"/>
  <c r="B136" i="4"/>
  <c r="B8" i="6"/>
  <c r="B3" i="6"/>
  <c r="B7" i="6"/>
  <c r="B6" i="6"/>
  <c r="B5" i="6"/>
  <c r="B4" i="6"/>
  <c r="B128" i="4"/>
  <c r="B124" i="4"/>
  <c r="B39" i="7" s="1"/>
  <c r="B119" i="4"/>
  <c r="B38" i="7" s="1"/>
  <c r="B131" i="4"/>
  <c r="B129" i="4" s="1"/>
  <c r="B41" i="7" s="1"/>
  <c r="B113" i="4"/>
  <c r="B34" i="7" s="1"/>
  <c r="B107" i="4"/>
  <c r="B32" i="7" s="1"/>
  <c r="B23" i="7" s="1"/>
  <c r="B98" i="4"/>
  <c r="B29" i="7" s="1"/>
  <c r="B101" i="4"/>
  <c r="B30" i="7" s="1"/>
  <c r="B86" i="4"/>
  <c r="B25" i="7" s="1"/>
  <c r="B106" i="4"/>
  <c r="B105" i="4"/>
  <c r="B31" i="4"/>
  <c r="B10" i="7" s="1"/>
  <c r="B90" i="4"/>
  <c r="B81" i="4"/>
  <c r="B21" i="7" s="1"/>
  <c r="B75" i="4"/>
  <c r="B74" i="4"/>
  <c r="B73" i="4"/>
  <c r="B60" i="4"/>
  <c r="B18" i="7" s="1"/>
  <c r="B55" i="4"/>
  <c r="B17" i="7" s="1"/>
  <c r="B49" i="4"/>
  <c r="B15" i="7" s="1"/>
  <c r="B39" i="4"/>
  <c r="B38" i="4"/>
  <c r="B37" i="4"/>
  <c r="B36" i="4"/>
  <c r="B35" i="4"/>
  <c r="B18" i="4"/>
  <c r="B10" i="4" s="1"/>
  <c r="B5" i="4" s="1"/>
  <c r="B2" i="7" s="1"/>
  <c r="B19" i="4"/>
  <c r="B20" i="4"/>
  <c r="B21" i="4"/>
  <c r="B22" i="4"/>
  <c r="B23" i="4"/>
  <c r="B17" i="4"/>
  <c r="B1" i="4"/>
  <c r="B1" i="7" s="1"/>
  <c r="E1" i="1"/>
  <c r="E46" i="1"/>
  <c r="H1" i="1"/>
  <c r="H22" i="1"/>
  <c r="H18" i="1"/>
  <c r="H9" i="1"/>
  <c r="H5" i="1"/>
  <c r="H2" i="1"/>
  <c r="E43" i="1"/>
  <c r="E36" i="1"/>
  <c r="E33" i="1"/>
  <c r="E2" i="1"/>
  <c r="E39" i="1"/>
  <c r="E31" i="1"/>
  <c r="E24" i="1"/>
  <c r="E20" i="1"/>
  <c r="E16" i="1"/>
  <c r="E12" i="1"/>
  <c r="E6" i="1"/>
  <c r="B1" i="1"/>
  <c r="B42" i="7" l="1"/>
  <c r="B104" i="4"/>
  <c r="B31" i="7" s="1"/>
  <c r="B2" i="6"/>
  <c r="B127" i="4"/>
  <c r="B97" i="4"/>
  <c r="B28" i="7" s="1"/>
  <c r="B85" i="4"/>
  <c r="B72" i="4"/>
  <c r="B34" i="4"/>
  <c r="B24" i="4" s="1"/>
  <c r="B16" i="4"/>
  <c r="B8" i="7" s="1"/>
  <c r="B118" i="4" l="1"/>
  <c r="B40" i="7"/>
  <c r="B33" i="4"/>
  <c r="B12" i="7" s="1"/>
  <c r="B13" i="7"/>
  <c r="B54" i="4"/>
  <c r="B19" i="7"/>
  <c r="B16" i="7" s="1"/>
  <c r="B24" i="7"/>
  <c r="B84" i="4"/>
  <c r="B15" i="4" l="1"/>
  <c r="B9" i="7"/>
  <c r="B7" i="7" s="1"/>
  <c r="D1" i="7" l="1"/>
  <c r="B55" i="7"/>
</calcChain>
</file>

<file path=xl/sharedStrings.xml><?xml version="1.0" encoding="utf-8"?>
<sst xmlns="http://schemas.openxmlformats.org/spreadsheetml/2006/main" count="617" uniqueCount="219">
  <si>
    <t>Autenticación</t>
  </si>
  <si>
    <t>Performance</t>
  </si>
  <si>
    <t>ICO, ICP, Performance de la Compañia</t>
  </si>
  <si>
    <t>Grafico Posiciones</t>
  </si>
  <si>
    <t>Grafico Mapa de Performance</t>
  </si>
  <si>
    <t>Resumen Posiciones</t>
  </si>
  <si>
    <t>Plan Estrategico</t>
  </si>
  <si>
    <t>Tab Definicion</t>
  </si>
  <si>
    <t>Tab Mapa Estrategico</t>
  </si>
  <si>
    <t>Filtros</t>
  </si>
  <si>
    <t>Posiciones</t>
  </si>
  <si>
    <t>Tab Organigrama</t>
  </si>
  <si>
    <t>Proyectos Estrategicos</t>
  </si>
  <si>
    <t>Visualizacion Tarjetas Resumen</t>
  </si>
  <si>
    <t>Visualizacion Tarjetas Proyectos</t>
  </si>
  <si>
    <t>Funcionalidades Pantalla</t>
  </si>
  <si>
    <t>Formularios/Modales</t>
  </si>
  <si>
    <t>Reporteria</t>
  </si>
  <si>
    <t>Objetivos</t>
  </si>
  <si>
    <t>Tab Tablero ICO</t>
  </si>
  <si>
    <t>Tablero ICO</t>
  </si>
  <si>
    <t>Tendencia Anual</t>
  </si>
  <si>
    <t>Tab Cumplimiento</t>
  </si>
  <si>
    <t>Tabla cumplimiento de objetivos</t>
  </si>
  <si>
    <t>Tabla objetivos sin configurar</t>
  </si>
  <si>
    <t>Construccion del mapa Estrategico</t>
  </si>
  <si>
    <t>Notas</t>
  </si>
  <si>
    <t>Carga de Documentos</t>
  </si>
  <si>
    <t>Prioridades</t>
  </si>
  <si>
    <t>Visualizacion</t>
  </si>
  <si>
    <t>Tabla Prioridades</t>
  </si>
  <si>
    <t>Notificaciones</t>
  </si>
  <si>
    <t>Desarrollado</t>
  </si>
  <si>
    <t>Configurado</t>
  </si>
  <si>
    <t>Meetings</t>
  </si>
  <si>
    <t>Calendario</t>
  </si>
  <si>
    <t>Integracion unidireccional con Outllook</t>
  </si>
  <si>
    <t>Matriz Despliegue</t>
  </si>
  <si>
    <t>Permisos</t>
  </si>
  <si>
    <t>Modulo Plan estrategico</t>
  </si>
  <si>
    <t>Pestaña Definicion</t>
  </si>
  <si>
    <t>Rol</t>
  </si>
  <si>
    <t>Leer</t>
  </si>
  <si>
    <t>Crear</t>
  </si>
  <si>
    <t>Actualizar</t>
  </si>
  <si>
    <t>Eliminar/Borrar</t>
  </si>
  <si>
    <t>Ordenar</t>
  </si>
  <si>
    <t>Filtro</t>
  </si>
  <si>
    <t>Generar reporte</t>
  </si>
  <si>
    <t>Especialista</t>
  </si>
  <si>
    <t>SI</t>
  </si>
  <si>
    <t>Todos</t>
  </si>
  <si>
    <t>Cliente</t>
  </si>
  <si>
    <t>NO</t>
  </si>
  <si>
    <t>Pestaña Mapa estrategico</t>
  </si>
  <si>
    <t>Filtro Posicion</t>
  </si>
  <si>
    <t>N/A</t>
  </si>
  <si>
    <t>Modulo  Posisiones</t>
  </si>
  <si>
    <t>Propio</t>
  </si>
  <si>
    <t>Pestaña Organigrama</t>
  </si>
  <si>
    <t>ICP</t>
  </si>
  <si>
    <t>ICO</t>
  </si>
  <si>
    <t>Proyectos</t>
  </si>
  <si>
    <t>SI Solo el propio</t>
  </si>
  <si>
    <t>Modulo  Proyectos</t>
  </si>
  <si>
    <t>Modulo Objetivos</t>
  </si>
  <si>
    <t>Pestaña Tablero ICO</t>
  </si>
  <si>
    <t>Pestaña Cumplimiento</t>
  </si>
  <si>
    <t>Acciones</t>
  </si>
  <si>
    <t>Cumlimiento</t>
  </si>
  <si>
    <t>Documento</t>
  </si>
  <si>
    <t>Configuracion</t>
  </si>
  <si>
    <t>Inactivar</t>
  </si>
  <si>
    <t>Modulo Prioridades</t>
  </si>
  <si>
    <t>Editar</t>
  </si>
  <si>
    <t>SI, menos la fecha de terminado</t>
  </si>
  <si>
    <t>Inicio de Sesion</t>
  </si>
  <si>
    <t>Recuperar Contraseña</t>
  </si>
  <si>
    <t>Confirmacion de Correo</t>
  </si>
  <si>
    <t>Plan</t>
  </si>
  <si>
    <t>Posicion</t>
  </si>
  <si>
    <t>Mes</t>
  </si>
  <si>
    <t>Año</t>
  </si>
  <si>
    <t>Tarjeta Mision</t>
  </si>
  <si>
    <t>No Aplica</t>
  </si>
  <si>
    <t>Tarjeta Vision</t>
  </si>
  <si>
    <t>Tarjeta Ventaja Distintiva</t>
  </si>
  <si>
    <t>Tarjeta Factores Clave de Éxito</t>
  </si>
  <si>
    <t>Tarjeta Valores</t>
  </si>
  <si>
    <t>Tarjeta Objetivos CEO</t>
  </si>
  <si>
    <t>Tarjeta Proyectos Estrategicos CEO</t>
  </si>
  <si>
    <t>Visualizacion Perspectiva Financiera</t>
  </si>
  <si>
    <t>Visualizacion Perspectiva Cliente</t>
  </si>
  <si>
    <t>Visualizacion Perspectiva Procesos</t>
  </si>
  <si>
    <t>Visualizacion Perspectiva Persona</t>
  </si>
  <si>
    <t>Opciones de Zoom y Bloqueo</t>
  </si>
  <si>
    <t>Tarjeta Objetivos</t>
  </si>
  <si>
    <t>Tarjeta Proyectos Estrategicos</t>
  </si>
  <si>
    <t>Tarjeta Palancas</t>
  </si>
  <si>
    <t>Visualizacion Jerarquica Posiciones</t>
  </si>
  <si>
    <t>Visualizacion ICO</t>
  </si>
  <si>
    <t>Visualizacion ICP</t>
  </si>
  <si>
    <t>Visualizacion Avance Proyectos</t>
  </si>
  <si>
    <t>Opciones de Zoom</t>
  </si>
  <si>
    <t>Redireccion a la pantalla ICO de la Posicion</t>
  </si>
  <si>
    <t>Redireccion a la pantalla ICP de la Posicion</t>
  </si>
  <si>
    <t>Redireccion a la pantalla de Proyectos Estrategicos de la Posicion</t>
  </si>
  <si>
    <t>Total Proyectos</t>
  </si>
  <si>
    <t>Promedio Cumplimiento</t>
  </si>
  <si>
    <t>Presupuesto Total</t>
  </si>
  <si>
    <t>Ejecutado</t>
  </si>
  <si>
    <t>Titulo</t>
  </si>
  <si>
    <t>Grafico de avance con porcentaje</t>
  </si>
  <si>
    <t>Fecha Inicio</t>
  </si>
  <si>
    <t>Fecha Fin</t>
  </si>
  <si>
    <t>Presupuesto</t>
  </si>
  <si>
    <t>Contador Tareas</t>
  </si>
  <si>
    <t>Meta Estrategica</t>
  </si>
  <si>
    <t>Total Factores</t>
  </si>
  <si>
    <t>Total Tareas</t>
  </si>
  <si>
    <t>Generar Reporte</t>
  </si>
  <si>
    <t>Proyecto</t>
  </si>
  <si>
    <t>Factores</t>
  </si>
  <si>
    <t>Tareas</t>
  </si>
  <si>
    <t>Campos de Proyectos: Nombre, Propositos, Selector Meta Estrategica, Presupuesto Total, Selector de Fechas</t>
  </si>
  <si>
    <t>Campos de Factores: Nombre, Resultado</t>
  </si>
  <si>
    <t>Campos de Tareas: Accion Clave, Justificacion, Entregable, Limitacion, Metodologia, Comentarios, Apoyos Requeridos, Inversion, Selector de Estado, Selector de Fecha Inicio, Selector de Fecha Fin</t>
  </si>
  <si>
    <t>Modal de Asignacion de Responsible sea de una posicion o un usuario externo</t>
  </si>
  <si>
    <t>Total Indicadores Activos</t>
  </si>
  <si>
    <t>Promedio Annual</t>
  </si>
  <si>
    <t>Ultimo Mes Activo</t>
  </si>
  <si>
    <t>Columna Indicador: Nombre, Meta y Medida</t>
  </si>
  <si>
    <t>Columna Meses</t>
  </si>
  <si>
    <t>Fila ICO Mensual</t>
  </si>
  <si>
    <t>Leyenda del Semaforo ICO</t>
  </si>
  <si>
    <t>Graficos de cada Indicador</t>
  </si>
  <si>
    <t>Columnas: Nombre, indicador, Nivel, Tipo, Estado de Pendientes</t>
  </si>
  <si>
    <t>Acciones: Registro de Cumplimiento, Agregar Notas, Adjuntar Documentos, Configuracion Objetivo, Eliminar</t>
  </si>
  <si>
    <t>Acciones: Agregar Notas, Adjuntar Documentos, Configuracion Objetivo, Eliminar</t>
  </si>
  <si>
    <t>Objetivo</t>
  </si>
  <si>
    <t>Cumplimientos de Objetivos</t>
  </si>
  <si>
    <t>Campos de Objetivo Nuevo: Verbo, Meta, Indicador, Alcances, Horizonte de tiempo y Selector de Nivel</t>
  </si>
  <si>
    <t>Campos de Mapa Estrategico: Selector de Nivel, Selector de Orientacion, Selector de Perspectiva, Selector Objetivos al que impacta, Estado del Objetivo</t>
  </si>
  <si>
    <t>Campos de Indicador: Nombre, Selector de Tendencia, Selector de Medida, Selector de Tipo, Selector de Frecuencia, Selector Fecha Inicio, Selector Fecha Fin, Meta, Meta Frecuencia, Selector de Fuente, Detalle de la Fuente, Formula, Rango Inaceptable y Aceptable del Objetivo</t>
  </si>
  <si>
    <t>Campos registro de Cumplimiento: Resultado, Valor Esperado y Observacion</t>
  </si>
  <si>
    <t>Grafico Estado de Prioridades</t>
  </si>
  <si>
    <t>Grafico ICP</t>
  </si>
  <si>
    <t>Grafico Tendencia Annual</t>
  </si>
  <si>
    <t>Listado de Prioridades</t>
  </si>
  <si>
    <t>Columnas: Nombre, Objetivo, Estado, Fecha Inicio, Fecha Fin, Fecha Teminado</t>
  </si>
  <si>
    <t>Acciones: Nueva Prioridad, Generar Reporte, Editar, Agregar Notas, Adjuntar Documentos, Eliminar</t>
  </si>
  <si>
    <t>Campos de Prioridad Nueva: Nueva, Entregable, Selector Objetivo, Check Permitir Objetivos de Terceros, Selector Fecha Inicio, Selector Fecha Fina, Selector Fecha Terminado</t>
  </si>
  <si>
    <t>Proyectos Estrategico</t>
  </si>
  <si>
    <t>Descripcion Modulo/Funcionalidad</t>
  </si>
  <si>
    <t>Cargar Imagen</t>
  </si>
  <si>
    <t>Adjuntar Documento</t>
  </si>
  <si>
    <t>Crear Nota</t>
  </si>
  <si>
    <t>Modulos Configuracion</t>
  </si>
  <si>
    <t>Compañias</t>
  </si>
  <si>
    <t>Unidades de Negocio</t>
  </si>
  <si>
    <t>Usuarios</t>
  </si>
  <si>
    <t>Campos de Compañia: Nombre, Identificacion, Descripcion, Representante legal, Telefono, Direccion</t>
  </si>
  <si>
    <t>Campos de Unidad de Negocio: Nombre, Identificacion, Representante legal, Telefono, Direccion, Descripcion, Selector Compañía</t>
  </si>
  <si>
    <t>Campos de Usuarios: Nombre, Apellido, Correo, Identificacion, Telefono, Selector del Rol, Selector Unida de Negocio</t>
  </si>
  <si>
    <t>Asignacion de Permisos Personalizados</t>
  </si>
  <si>
    <t>Campos Posicion: Nombre, Selector Unidad de Negocio, Selector Usuario asignado, Selector Posicion Superior, Check Es CEO</t>
  </si>
  <si>
    <t>Campos Plan Estrategico: Nombre, Selector Unidad de Negocio, Selector Fecha Inicio, Selector Fecha Fina, Descripcion</t>
  </si>
  <si>
    <t>Migracion Base de Datos PONCE3</t>
  </si>
  <si>
    <t>Modulos / Funcionalidades SOE Implementadas en PONCE3</t>
  </si>
  <si>
    <t>Modulos / Funcionalidades SOE Admin</t>
  </si>
  <si>
    <t>Creacion de Unidades de Negocio</t>
  </si>
  <si>
    <t>Creacion, Edicion, Inactivacion, Lista</t>
  </si>
  <si>
    <t>Planes Estrategicos</t>
  </si>
  <si>
    <t>Factores Claves de Exito</t>
  </si>
  <si>
    <t>Valores</t>
  </si>
  <si>
    <t>Filtros: Plan, Posicion, Mes, Año</t>
  </si>
  <si>
    <t>Asignacion de Compañia</t>
  </si>
  <si>
    <t>Palancas</t>
  </si>
  <si>
    <t>Asignacion de Usuarios con Posiciones en Unidades de Negocio</t>
  </si>
  <si>
    <t>Restablecer Contraseña</t>
  </si>
  <si>
    <t>Enviar mail de confirmacion</t>
  </si>
  <si>
    <t>Filtros: Plan</t>
  </si>
  <si>
    <t>Asignar Rol</t>
  </si>
  <si>
    <t>Participante por defecto del proyecto</t>
  </si>
  <si>
    <t>Definicion</t>
  </si>
  <si>
    <t>Asignar Unidad de Negocio</t>
  </si>
  <si>
    <t>Mapa Estrategico</t>
  </si>
  <si>
    <t>Cambiar de unidad de Negocio</t>
  </si>
  <si>
    <t>Indicadores</t>
  </si>
  <si>
    <t>Asignar Permisos Personalizados</t>
  </si>
  <si>
    <t>Cumplimiento de Objetivos</t>
  </si>
  <si>
    <t>Cargar Foto de Perfil</t>
  </si>
  <si>
    <t>Asignacion de Roles</t>
  </si>
  <si>
    <t>Organigrama</t>
  </si>
  <si>
    <t>Asignacion de Permisos del Sistema</t>
  </si>
  <si>
    <t>Asignar a Usuario</t>
  </si>
  <si>
    <t>Notas de Usuarios</t>
  </si>
  <si>
    <t>Filtros: Plan, Posicion</t>
  </si>
  <si>
    <t>Establecer posicion superior</t>
  </si>
  <si>
    <t>Tarea</t>
  </si>
  <si>
    <t>Filtros: Plan, Posicion, Año</t>
  </si>
  <si>
    <t>Ajuste de Meta</t>
  </si>
  <si>
    <t>Configuracion de Indicador</t>
  </si>
  <si>
    <t>DESCRIPCION</t>
  </si>
  <si>
    <t>LINK</t>
  </si>
  <si>
    <t>PUERTO</t>
  </si>
  <si>
    <t>Soe v1</t>
  </si>
  <si>
    <t>qa.soe.la</t>
  </si>
  <si>
    <t>Soe v1 API</t>
  </si>
  <si>
    <t>api.soe.la</t>
  </si>
  <si>
    <t>Soe v2</t>
  </si>
  <si>
    <t>portal.soe.la</t>
  </si>
  <si>
    <t>Soe v2 API</t>
  </si>
  <si>
    <t>api-qav2.soe.la</t>
  </si>
  <si>
    <t>Demo Soe v2</t>
  </si>
  <si>
    <t>demov2.soe.la</t>
  </si>
  <si>
    <t>Demo Soe v2 API</t>
  </si>
  <si>
    <t>api-demov2.soe.la</t>
  </si>
  <si>
    <t>api-report-qa.soe.la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</si>
</sst>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color rgb="FF000000"/>
      <name val="Aptos Narrow"/>
      <charset val="1"/>
    </font>
    <font>
      <sz val="11"/>
      <color theme="1"/>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5"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2">
    <xf numFmtId="0" fontId="0" fillId="0" borderId="0"/>
    <xf numFmtId="9" fontId="3" fillId="0" borderId="0" applyFont="0" applyFill="0" applyBorder="0" applyAlignment="0" applyProtection="0"/>
  </cellStyleXfs>
  <cellXfs count="72">
    <xf numFmtId="0" fontId="0" fillId="0" borderId="0" xfId="0"/>
    <xf numFmtId="0" fontId="0" fillId="0" borderId="0" xfId="0" applyAlignment="1">
      <alignment wrapText="1"/>
    </xf>
    <xf numFmtId="0" fontId="0" fillId="0" borderId="0" xfId="0" applyAlignment="1">
      <alignment horizontal="left" vertical="center"/>
    </xf>
    <xf numFmtId="9" fontId="0" fillId="0" borderId="0" xfId="0" applyNumberFormat="1" applyAlignment="1">
      <alignment horizontal="left" vertical="center"/>
    </xf>
    <xf numFmtId="0" fontId="0" fillId="0" borderId="0" xfId="0" applyAlignment="1">
      <alignment vertical="center" wrapText="1"/>
    </xf>
    <xf numFmtId="0" fontId="0" fillId="0" borderId="0" xfId="0" applyAlignment="1">
      <alignment vertical="center"/>
    </xf>
    <xf numFmtId="0" fontId="0" fillId="0" borderId="1" xfId="0" applyBorder="1" applyAlignment="1">
      <alignment vertical="center" wrapText="1"/>
    </xf>
    <xf numFmtId="9" fontId="0" fillId="0" borderId="1" xfId="0" applyNumberFormat="1" applyBorder="1" applyAlignment="1">
      <alignment vertical="center" wrapText="1"/>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 fillId="3" borderId="1" xfId="0" applyFont="1" applyFill="1" applyBorder="1" applyAlignment="1">
      <alignment vertical="center"/>
    </xf>
    <xf numFmtId="0" fontId="0" fillId="0" borderId="1" xfId="0" applyBorder="1"/>
    <xf numFmtId="0" fontId="1" fillId="3" borderId="2" xfId="0" applyFont="1" applyFill="1" applyBorder="1" applyAlignment="1">
      <alignment vertical="center"/>
    </xf>
    <xf numFmtId="0" fontId="1" fillId="3" borderId="4" xfId="0" applyFont="1" applyFill="1" applyBorder="1" applyAlignment="1">
      <alignment vertical="center"/>
    </xf>
    <xf numFmtId="0" fontId="0" fillId="0" borderId="3" xfId="0" applyBorder="1" applyAlignment="1">
      <alignment vertical="center"/>
    </xf>
    <xf numFmtId="9" fontId="1" fillId="3" borderId="1" xfId="0" applyNumberFormat="1" applyFont="1" applyFill="1" applyBorder="1" applyAlignment="1">
      <alignment vertical="center"/>
    </xf>
    <xf numFmtId="9" fontId="0" fillId="0" borderId="1" xfId="0" applyNumberFormat="1" applyBorder="1" applyAlignment="1">
      <alignment vertical="center"/>
    </xf>
    <xf numFmtId="9" fontId="1" fillId="3" borderId="4" xfId="0" applyNumberFormat="1" applyFont="1" applyFill="1" applyBorder="1" applyAlignment="1">
      <alignment vertical="center"/>
    </xf>
    <xf numFmtId="9" fontId="0" fillId="0" borderId="3" xfId="0" applyNumberFormat="1" applyBorder="1" applyAlignment="1">
      <alignment vertical="center"/>
    </xf>
    <xf numFmtId="9" fontId="0" fillId="0" borderId="4" xfId="0" applyNumberFormat="1" applyBorder="1" applyAlignment="1">
      <alignment vertical="center"/>
    </xf>
    <xf numFmtId="10" fontId="0" fillId="0" borderId="0" xfId="0" applyNumberFormat="1" applyAlignment="1">
      <alignment vertical="center"/>
    </xf>
    <xf numFmtId="9" fontId="0" fillId="0" borderId="0" xfId="0" applyNumberFormat="1" applyAlignment="1">
      <alignment vertical="center"/>
    </xf>
    <xf numFmtId="0" fontId="1" fillId="2" borderId="1" xfId="0" applyFont="1" applyFill="1" applyBorder="1" applyAlignment="1">
      <alignment horizontal="center" vertical="center" wrapText="1"/>
    </xf>
    <xf numFmtId="9" fontId="1" fillId="2" borderId="1" xfId="0" applyNumberFormat="1" applyFont="1" applyFill="1" applyBorder="1" applyAlignment="1">
      <alignment horizontal="center" vertical="center" wrapText="1"/>
    </xf>
    <xf numFmtId="0" fontId="1" fillId="2" borderId="3" xfId="0" applyFont="1" applyFill="1" applyBorder="1" applyAlignment="1">
      <alignment vertical="center" wrapText="1"/>
    </xf>
    <xf numFmtId="9" fontId="1" fillId="2" borderId="3" xfId="0" applyNumberFormat="1" applyFont="1" applyFill="1" applyBorder="1" applyAlignment="1">
      <alignment horizontal="center" vertical="center" wrapText="1"/>
    </xf>
    <xf numFmtId="0" fontId="1" fillId="2" borderId="1" xfId="0" applyFont="1" applyFill="1" applyBorder="1" applyAlignment="1">
      <alignment vertical="center" wrapText="1"/>
    </xf>
    <xf numFmtId="0" fontId="1" fillId="0" borderId="1" xfId="0" applyFont="1" applyBorder="1" applyAlignment="1">
      <alignment horizontal="center" vertical="center"/>
    </xf>
    <xf numFmtId="0" fontId="2" fillId="0" borderId="1" xfId="0" applyFont="1" applyBorder="1"/>
    <xf numFmtId="0" fontId="0" fillId="0" borderId="1" xfId="0" applyBorder="1" applyAlignment="1">
      <alignment horizontal="center"/>
    </xf>
    <xf numFmtId="0" fontId="0" fillId="0" borderId="0" xfId="0" applyAlignment="1">
      <alignment horizontal="center"/>
    </xf>
    <xf numFmtId="0" fontId="1" fillId="3" borderId="5" xfId="0" applyFont="1" applyFill="1" applyBorder="1" applyAlignment="1">
      <alignment vertical="center"/>
    </xf>
    <xf numFmtId="0" fontId="0" fillId="0" borderId="5" xfId="0" applyBorder="1" applyAlignment="1">
      <alignment vertical="center"/>
    </xf>
    <xf numFmtId="0" fontId="0" fillId="0" borderId="5" xfId="0" applyBorder="1" applyAlignment="1">
      <alignment horizontal="left" vertical="center"/>
    </xf>
    <xf numFmtId="0" fontId="0" fillId="0" borderId="5" xfId="0" applyBorder="1" applyAlignment="1">
      <alignment horizontal="left" vertical="center" wrapText="1"/>
    </xf>
    <xf numFmtId="0" fontId="1" fillId="0" borderId="5" xfId="0" applyFont="1" applyBorder="1" applyAlignment="1">
      <alignment horizontal="left" vertical="center"/>
    </xf>
    <xf numFmtId="0" fontId="0" fillId="0" borderId="5" xfId="0" applyBorder="1" applyAlignment="1">
      <alignment horizontal="left" vertical="center" indent="2"/>
    </xf>
    <xf numFmtId="9" fontId="0" fillId="0" borderId="5" xfId="0" applyNumberFormat="1" applyBorder="1" applyAlignment="1">
      <alignment horizontal="center" vertical="center"/>
    </xf>
    <xf numFmtId="9" fontId="0" fillId="0" borderId="5" xfId="1" applyFont="1" applyBorder="1" applyAlignment="1">
      <alignment horizontal="center" vertical="center"/>
    </xf>
    <xf numFmtId="0" fontId="1" fillId="4" borderId="5" xfId="0" applyFont="1" applyFill="1" applyBorder="1" applyAlignment="1">
      <alignment vertical="center"/>
    </xf>
    <xf numFmtId="9" fontId="1" fillId="4" borderId="5" xfId="0" applyNumberFormat="1" applyFont="1" applyFill="1" applyBorder="1" applyAlignment="1">
      <alignment horizontal="center" vertical="center"/>
    </xf>
    <xf numFmtId="9" fontId="0" fillId="0" borderId="1" xfId="0" applyNumberFormat="1" applyBorder="1" applyAlignment="1">
      <alignment horizontal="center" vertical="center"/>
    </xf>
    <xf numFmtId="9" fontId="0" fillId="0" borderId="3" xfId="0" applyNumberFormat="1" applyBorder="1" applyAlignment="1">
      <alignment horizontal="center" vertical="center"/>
    </xf>
    <xf numFmtId="9" fontId="1" fillId="5" borderId="5" xfId="0" applyNumberFormat="1" applyFont="1" applyFill="1" applyBorder="1" applyAlignment="1">
      <alignment horizontal="center" vertical="center"/>
    </xf>
    <xf numFmtId="0" fontId="1" fillId="5" borderId="5" xfId="0" applyFont="1" applyFill="1" applyBorder="1" applyAlignment="1">
      <alignment horizontal="center" vertical="center"/>
    </xf>
    <xf numFmtId="0" fontId="1" fillId="0" borderId="6" xfId="0" applyFont="1" applyBorder="1" applyAlignment="1">
      <alignment horizontal="left" vertical="center"/>
    </xf>
    <xf numFmtId="9" fontId="0" fillId="0" borderId="0" xfId="1" applyFont="1" applyBorder="1" applyAlignment="1">
      <alignment horizontal="center" vertical="center"/>
    </xf>
    <xf numFmtId="0" fontId="0" fillId="0" borderId="5" xfId="0" applyBorder="1" applyAlignment="1">
      <alignment horizontal="left" vertical="center" wrapText="1" indent="2"/>
    </xf>
    <xf numFmtId="9" fontId="1" fillId="5" borderId="7" xfId="0" applyNumberFormat="1" applyFont="1" applyFill="1" applyBorder="1" applyAlignment="1">
      <alignment horizontal="center" vertical="center"/>
    </xf>
    <xf numFmtId="9" fontId="0" fillId="0" borderId="7" xfId="1" applyFont="1" applyBorder="1" applyAlignment="1">
      <alignment horizontal="center" vertical="center"/>
    </xf>
    <xf numFmtId="0" fontId="1" fillId="0" borderId="5" xfId="0" applyFont="1" applyBorder="1" applyAlignment="1">
      <alignment vertical="center"/>
    </xf>
    <xf numFmtId="0" fontId="1" fillId="0" borderId="5" xfId="0" applyFont="1" applyBorder="1" applyAlignment="1">
      <alignment horizontal="left" vertical="center" indent="2"/>
    </xf>
    <xf numFmtId="0" fontId="0" fillId="0" borderId="5" xfId="0" applyBorder="1" applyAlignment="1">
      <alignment horizontal="left" vertical="center" indent="4"/>
    </xf>
    <xf numFmtId="0" fontId="0" fillId="0" borderId="1" xfId="0" applyBorder="1" applyAlignment="1">
      <alignment horizontal="left" vertical="center" indent="4"/>
    </xf>
    <xf numFmtId="0" fontId="1" fillId="0" borderId="1" xfId="0" applyFont="1" applyBorder="1" applyAlignment="1">
      <alignment horizontal="left" vertical="center" indent="2"/>
    </xf>
    <xf numFmtId="0" fontId="0" fillId="0" borderId="5" xfId="0" applyBorder="1" applyAlignment="1">
      <alignment horizontal="left" vertical="center" wrapText="1" indent="4"/>
    </xf>
    <xf numFmtId="0" fontId="0" fillId="0" borderId="5" xfId="0" applyBorder="1" applyAlignment="1">
      <alignment horizontal="left" vertical="center" wrapText="1" indent="3"/>
    </xf>
    <xf numFmtId="0" fontId="1" fillId="0" borderId="5" xfId="0" applyFont="1" applyBorder="1"/>
    <xf numFmtId="9" fontId="0" fillId="0" borderId="0" xfId="0" applyNumberFormat="1"/>
    <xf numFmtId="0" fontId="0" fillId="0" borderId="5" xfId="0" applyBorder="1" applyAlignment="1">
      <alignment horizontal="left" wrapText="1" indent="2"/>
    </xf>
    <xf numFmtId="0" fontId="1" fillId="0" borderId="0" xfId="0" applyFont="1"/>
    <xf numFmtId="0" fontId="1" fillId="6" borderId="0" xfId="0" applyFont="1" applyFill="1"/>
    <xf numFmtId="0" fontId="0" fillId="6" borderId="0" xfId="0" applyFill="1"/>
    <xf numFmtId="0" fontId="1" fillId="0" borderId="1" xfId="0" applyFont="1" applyBorder="1" applyAlignment="1">
      <alignment horizontal="left" vertical="center"/>
    </xf>
    <xf numFmtId="9" fontId="0" fillId="0" borderId="1" xfId="0" applyNumberFormat="1" applyBorder="1"/>
    <xf numFmtId="0" fontId="1" fillId="0" borderId="9" xfId="0" applyFont="1" applyBorder="1" applyAlignment="1">
      <alignment horizontal="left" vertical="center"/>
    </xf>
    <xf numFmtId="0" fontId="0" fillId="6" borderId="0" xfId="0" applyFill="1" applyAlignment="1">
      <alignment horizontal="center"/>
    </xf>
    <xf numFmtId="0" fontId="1" fillId="4" borderId="8" xfId="0" applyFont="1" applyFill="1" applyBorder="1" applyAlignment="1">
      <alignment horizontal="center" vertical="center"/>
    </xf>
    <xf numFmtId="0" fontId="1" fillId="4" borderId="0" xfId="0" applyFont="1" applyFill="1" applyAlignment="1">
      <alignment horizontal="center" vertical="center"/>
    </xf>
    <xf numFmtId="0" fontId="1" fillId="4" borderId="8" xfId="0" applyFont="1" applyFill="1" applyBorder="1" applyAlignment="1">
      <alignment horizontal="left" vertical="center"/>
    </xf>
    <xf numFmtId="0" fontId="1" fillId="4" borderId="0" xfId="0" applyFont="1" applyFill="1" applyAlignment="1">
      <alignment horizontal="left" vertical="center"/>
    </xf>
  </cellXfs>
  <cellStyles count="2">
    <cellStyle name="Normal" xfId="0" builtinId="0"/>
    <cellStyle name="Porcentaje" xfId="1" builtinId="5"/>
  </cellStyles>
  <dxfs count="218">
    <dxf>
      <font>
        <color rgb="FF006100"/>
      </font>
      <fill>
        <patternFill>
          <bgColor rgb="FFC6EF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A063-C54F-451C-94F9-764E9DD8CAA5}">
  <dimension ref="A1:D55"/>
  <sheetViews>
    <sheetView zoomScale="175" zoomScaleNormal="175" workbookViewId="0">
      <selection activeCell="B12" sqref="B12"/>
    </sheetView>
  </sheetViews>
  <sheetFormatPr defaultColWidth="9.140625" defaultRowHeight="15"/>
  <cols>
    <col min="1" max="1" width="63.140625" bestFit="1" customWidth="1"/>
  </cols>
  <sheetData>
    <row r="1" spans="1:4">
      <c r="A1" s="40" t="s">
        <v>0</v>
      </c>
      <c r="B1" s="59">
        <f>+'Desarollo Modulos Cliente'!B1</f>
        <v>1</v>
      </c>
      <c r="D1" s="59">
        <f>AVERAGE(B1,B2,B7,B12,B16,B23,B37,B46,B49,B52)</f>
        <v>0.85461538461538455</v>
      </c>
    </row>
    <row r="2" spans="1:4">
      <c r="A2" s="40" t="s">
        <v>1</v>
      </c>
      <c r="B2" s="59">
        <f>+'Desarollo Modulos Cliente'!B5</f>
        <v>1</v>
      </c>
    </row>
    <row r="3" spans="1:4">
      <c r="A3" s="35" t="s">
        <v>2</v>
      </c>
      <c r="B3" s="59">
        <f>+'Desarollo Modulos Cliente'!B6</f>
        <v>1</v>
      </c>
    </row>
    <row r="4" spans="1:4">
      <c r="A4" s="34" t="s">
        <v>3</v>
      </c>
      <c r="B4" s="59">
        <f>+'Desarollo Modulos Cliente'!B7</f>
        <v>1</v>
      </c>
    </row>
    <row r="5" spans="1:4">
      <c r="A5" s="34" t="s">
        <v>4</v>
      </c>
      <c r="B5" s="59">
        <f>+'Desarollo Modulos Cliente'!B8</f>
        <v>1</v>
      </c>
    </row>
    <row r="6" spans="1:4">
      <c r="A6" s="34" t="s">
        <v>5</v>
      </c>
      <c r="B6" s="59">
        <f>+'Desarollo Modulos Cliente'!B9</f>
        <v>1</v>
      </c>
    </row>
    <row r="7" spans="1:4">
      <c r="A7" s="40" t="s">
        <v>6</v>
      </c>
      <c r="B7" s="59">
        <f>AVERAGE(B8:B11)</f>
        <v>1</v>
      </c>
    </row>
    <row r="8" spans="1:4">
      <c r="A8" s="36" t="s">
        <v>7</v>
      </c>
      <c r="B8" s="59">
        <f>+'Desarollo Modulos Cliente'!B16</f>
        <v>1</v>
      </c>
    </row>
    <row r="9" spans="1:4">
      <c r="A9" s="46" t="s">
        <v>8</v>
      </c>
      <c r="B9" s="59">
        <f>+'Desarollo Modulos Cliente'!B24</f>
        <v>1</v>
      </c>
    </row>
    <row r="10" spans="1:4">
      <c r="A10" s="36" t="s">
        <v>9</v>
      </c>
      <c r="B10" s="59">
        <f>+'Desarollo Modulos Cliente'!B31</f>
        <v>1</v>
      </c>
    </row>
    <row r="11" spans="1:4">
      <c r="A11" s="36" t="s">
        <v>6</v>
      </c>
      <c r="B11" s="59">
        <f>+'Desarollo Modulos Cliente'!B143</f>
        <v>1</v>
      </c>
    </row>
    <row r="12" spans="1:4">
      <c r="A12" s="32" t="s">
        <v>10</v>
      </c>
      <c r="B12" s="59">
        <f>+'Desarollo Modulos Cliente'!B33</f>
        <v>0.9375</v>
      </c>
    </row>
    <row r="13" spans="1:4">
      <c r="A13" s="36" t="s">
        <v>7</v>
      </c>
      <c r="B13" s="59">
        <f>+'Desarollo Modulos Cliente'!B34</f>
        <v>1</v>
      </c>
    </row>
    <row r="14" spans="1:4">
      <c r="A14" s="36" t="s">
        <v>11</v>
      </c>
      <c r="B14" s="59">
        <f>+'Desarollo Modulos Cliente'!B40</f>
        <v>0.8125</v>
      </c>
    </row>
    <row r="15" spans="1:4">
      <c r="A15" s="36" t="s">
        <v>9</v>
      </c>
      <c r="B15" s="59">
        <f>+'Desarollo Modulos Cliente'!B49</f>
        <v>1</v>
      </c>
    </row>
    <row r="16" spans="1:4">
      <c r="A16" s="32" t="s">
        <v>12</v>
      </c>
      <c r="B16" s="59">
        <f>+AVERAGE(B17:B22)</f>
        <v>0.97916666666666663</v>
      </c>
    </row>
    <row r="17" spans="1:2">
      <c r="A17" s="51" t="s">
        <v>13</v>
      </c>
      <c r="B17" s="59">
        <f>+'Desarollo Modulos Cliente'!B55</f>
        <v>1</v>
      </c>
    </row>
    <row r="18" spans="1:2">
      <c r="A18" s="51" t="s">
        <v>14</v>
      </c>
      <c r="B18" s="59">
        <f>+'Desarollo Modulos Cliente'!B60</f>
        <v>1</v>
      </c>
    </row>
    <row r="19" spans="1:2">
      <c r="A19" s="36" t="s">
        <v>15</v>
      </c>
      <c r="B19" s="59">
        <f>+'Desarollo Modulos Cliente'!B72</f>
        <v>1</v>
      </c>
    </row>
    <row r="20" spans="1:2">
      <c r="A20" s="36" t="s">
        <v>16</v>
      </c>
      <c r="B20" s="59">
        <f>+'Desarollo Modulos Cliente'!B76</f>
        <v>0.875</v>
      </c>
    </row>
    <row r="21" spans="1:2">
      <c r="A21" s="36" t="s">
        <v>9</v>
      </c>
      <c r="B21" s="59">
        <f>+'Desarollo Modulos Cliente'!B81</f>
        <v>1</v>
      </c>
    </row>
    <row r="22" spans="1:2">
      <c r="A22" s="36" t="s">
        <v>17</v>
      </c>
      <c r="B22" s="59">
        <f>+'Desarollo Modulos Cliente'!B144</f>
        <v>1</v>
      </c>
    </row>
    <row r="23" spans="1:2">
      <c r="A23" s="32" t="s">
        <v>18</v>
      </c>
      <c r="B23" s="59">
        <f>AVERAGE(B24:B36)</f>
        <v>0.97948717948717956</v>
      </c>
    </row>
    <row r="24" spans="1:2">
      <c r="A24" s="36" t="s">
        <v>19</v>
      </c>
      <c r="B24" s="59">
        <f>+'Desarollo Modulos Cliente'!B85</f>
        <v>0.93333333333333324</v>
      </c>
    </row>
    <row r="25" spans="1:2">
      <c r="A25" s="52" t="s">
        <v>13</v>
      </c>
      <c r="B25" s="59">
        <f>+'Desarollo Modulos Cliente'!B86</f>
        <v>1</v>
      </c>
    </row>
    <row r="26" spans="1:2">
      <c r="A26" s="55" t="s">
        <v>20</v>
      </c>
      <c r="B26" s="59">
        <f>+'Desarollo Modulos Cliente'!B90</f>
        <v>0.8</v>
      </c>
    </row>
    <row r="27" spans="1:2">
      <c r="A27" s="55" t="s">
        <v>21</v>
      </c>
      <c r="B27" s="59">
        <f>+'Desarollo Modulos Cliente'!B96</f>
        <v>1</v>
      </c>
    </row>
    <row r="28" spans="1:2">
      <c r="A28" s="36" t="s">
        <v>22</v>
      </c>
      <c r="B28" s="59">
        <f>+'Desarollo Modulos Cliente'!B97</f>
        <v>1</v>
      </c>
    </row>
    <row r="29" spans="1:2">
      <c r="A29" s="52" t="s">
        <v>23</v>
      </c>
      <c r="B29" s="59">
        <f>+'Desarollo Modulos Cliente'!B98</f>
        <v>1</v>
      </c>
    </row>
    <row r="30" spans="1:2">
      <c r="A30" s="52" t="s">
        <v>24</v>
      </c>
      <c r="B30" s="59">
        <f>+'Desarollo Modulos Cliente'!B101</f>
        <v>1</v>
      </c>
    </row>
    <row r="31" spans="1:2">
      <c r="A31" s="36" t="s">
        <v>15</v>
      </c>
      <c r="B31" s="59">
        <f>+'Desarollo Modulos Cliente'!B104</f>
        <v>1</v>
      </c>
    </row>
    <row r="32" spans="1:2">
      <c r="A32" s="36" t="s">
        <v>16</v>
      </c>
      <c r="B32" s="59">
        <f>+'Desarollo Modulos Cliente'!B107</f>
        <v>1</v>
      </c>
    </row>
    <row r="33" spans="1:2">
      <c r="A33" s="51" t="s">
        <v>25</v>
      </c>
      <c r="B33" s="59">
        <f>+'Desarollo Modulos Cliente'!B112</f>
        <v>1</v>
      </c>
    </row>
    <row r="34" spans="1:2">
      <c r="A34" s="36" t="s">
        <v>9</v>
      </c>
      <c r="B34" s="59">
        <f>+'Desarollo Modulos Cliente'!B113</f>
        <v>1</v>
      </c>
    </row>
    <row r="35" spans="1:2">
      <c r="A35" s="36" t="s">
        <v>26</v>
      </c>
      <c r="B35" s="59">
        <f>+'Desarollo Modulos Cliente'!B137</f>
        <v>1</v>
      </c>
    </row>
    <row r="36" spans="1:2">
      <c r="A36" s="36" t="s">
        <v>27</v>
      </c>
      <c r="B36" s="59">
        <f>+'Desarollo Modulos Cliente'!B140</f>
        <v>1</v>
      </c>
    </row>
    <row r="37" spans="1:2">
      <c r="A37" s="32" t="s">
        <v>28</v>
      </c>
      <c r="B37" s="59">
        <f>AVERAGE(B38:B45)</f>
        <v>1</v>
      </c>
    </row>
    <row r="38" spans="1:2">
      <c r="A38" s="51" t="s">
        <v>29</v>
      </c>
      <c r="B38" s="59">
        <f>+'Desarollo Modulos Cliente'!B119</f>
        <v>1</v>
      </c>
    </row>
    <row r="39" spans="1:2">
      <c r="A39" s="36" t="s">
        <v>30</v>
      </c>
      <c r="B39" s="59">
        <f>+'Desarollo Modulos Cliente'!B124</f>
        <v>1</v>
      </c>
    </row>
    <row r="40" spans="1:2">
      <c r="A40" s="36" t="s">
        <v>15</v>
      </c>
      <c r="B40" s="59">
        <f>+'Desarollo Modulos Cliente'!B127</f>
        <v>1</v>
      </c>
    </row>
    <row r="41" spans="1:2">
      <c r="A41" s="36" t="s">
        <v>16</v>
      </c>
      <c r="B41" s="59">
        <f>+'Desarollo Modulos Cliente'!B129</f>
        <v>1</v>
      </c>
    </row>
    <row r="42" spans="1:2">
      <c r="A42" s="36" t="s">
        <v>9</v>
      </c>
      <c r="B42" s="59">
        <f>+'Desarollo Modulos Cliente'!B131</f>
        <v>1</v>
      </c>
    </row>
    <row r="43" spans="1:2">
      <c r="A43" s="66" t="s">
        <v>26</v>
      </c>
      <c r="B43" s="59">
        <f>+'Desarollo Modulos Cliente'!B138</f>
        <v>1</v>
      </c>
    </row>
    <row r="44" spans="1:2">
      <c r="A44" s="64" t="s">
        <v>27</v>
      </c>
      <c r="B44" s="65">
        <f>+'Desarollo Modulos Cliente'!B141</f>
        <v>1</v>
      </c>
    </row>
    <row r="45" spans="1:2">
      <c r="A45" s="64" t="s">
        <v>17</v>
      </c>
      <c r="B45" s="65">
        <f>+'Desarollo Modulos Cliente'!B145</f>
        <v>1</v>
      </c>
    </row>
    <row r="46" spans="1:2">
      <c r="A46" s="14" t="s">
        <v>31</v>
      </c>
      <c r="B46" s="59">
        <f>+'Desarollo Modulos Cliente'!B146</f>
        <v>1</v>
      </c>
    </row>
    <row r="47" spans="1:2">
      <c r="A47" s="8" t="s">
        <v>32</v>
      </c>
      <c r="B47" s="59">
        <f>+'Desarollo Modulos Cliente'!B147</f>
        <v>1</v>
      </c>
    </row>
    <row r="48" spans="1:2">
      <c r="A48" s="15" t="s">
        <v>33</v>
      </c>
      <c r="B48" s="59">
        <f>+'Desarollo Modulos Cliente'!B148</f>
        <v>1</v>
      </c>
    </row>
    <row r="49" spans="1:2">
      <c r="A49" s="11" t="s">
        <v>34</v>
      </c>
      <c r="B49" s="59">
        <f>+'Desarollo Modulos Cliente'!B149</f>
        <v>0.65</v>
      </c>
    </row>
    <row r="50" spans="1:2">
      <c r="A50" s="8" t="s">
        <v>35</v>
      </c>
      <c r="B50" s="59">
        <f>+'Desarollo Modulos Cliente'!B150</f>
        <v>0.8</v>
      </c>
    </row>
    <row r="51" spans="1:2">
      <c r="A51" s="8" t="s">
        <v>36</v>
      </c>
      <c r="B51" s="59">
        <f>+'Desarollo Modulos Cliente'!B151</f>
        <v>0.5</v>
      </c>
    </row>
    <row r="52" spans="1:2">
      <c r="A52" s="11" t="s">
        <v>37</v>
      </c>
      <c r="B52" s="59">
        <v>0</v>
      </c>
    </row>
    <row r="55" spans="1:2">
      <c r="B55" s="59">
        <f>AVERAGE(B1,B2,B7,B12,B16,B23,B37,B46,B49,B52)</f>
        <v>0.85461538461538455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9453F-528B-4C71-A33D-FA37CFE0A1B4}">
  <dimension ref="B2:M45"/>
  <sheetViews>
    <sheetView workbookViewId="0">
      <selection activeCell="P24" sqref="P24"/>
    </sheetView>
  </sheetViews>
  <sheetFormatPr defaultColWidth="9.140625" defaultRowHeight="15"/>
  <cols>
    <col min="2" max="2" width="24.140625" bestFit="1" customWidth="1"/>
    <col min="3" max="3" width="15" bestFit="1" customWidth="1"/>
    <col min="4" max="4" width="6.140625" bestFit="1" customWidth="1"/>
    <col min="5" max="5" width="10.140625" bestFit="1" customWidth="1"/>
    <col min="6" max="6" width="15" bestFit="1" customWidth="1"/>
    <col min="7" max="7" width="8.42578125" bestFit="1" customWidth="1"/>
    <col min="8" max="8" width="14" bestFit="1" customWidth="1"/>
    <col min="9" max="9" width="15.42578125" bestFit="1" customWidth="1"/>
    <col min="10" max="10" width="29" bestFit="1" customWidth="1"/>
    <col min="11" max="11" width="11.5703125" bestFit="1" customWidth="1"/>
    <col min="12" max="12" width="13.85546875" bestFit="1" customWidth="1"/>
    <col min="13" max="13" width="9" bestFit="1" customWidth="1"/>
  </cols>
  <sheetData>
    <row r="2" spans="2:9">
      <c r="B2" s="61" t="s">
        <v>38</v>
      </c>
    </row>
    <row r="4" spans="2:9">
      <c r="B4" s="70" t="s">
        <v>39</v>
      </c>
      <c r="C4" s="71"/>
      <c r="D4" s="71"/>
      <c r="E4" s="71"/>
      <c r="F4" s="71"/>
      <c r="G4" s="71"/>
      <c r="H4" s="71"/>
      <c r="I4" s="71"/>
    </row>
    <row r="5" spans="2:9">
      <c r="B5" s="62" t="s">
        <v>40</v>
      </c>
      <c r="C5" s="63"/>
      <c r="D5" s="63"/>
      <c r="E5" s="63"/>
      <c r="F5" s="63"/>
      <c r="G5" s="63"/>
      <c r="H5" s="63"/>
      <c r="I5" s="63"/>
    </row>
    <row r="6" spans="2:9">
      <c r="B6" s="49" t="s">
        <v>41</v>
      </c>
      <c r="C6" s="49" t="s">
        <v>42</v>
      </c>
      <c r="D6" s="45" t="s">
        <v>43</v>
      </c>
      <c r="E6" s="45" t="s">
        <v>44</v>
      </c>
      <c r="F6" s="45" t="s">
        <v>45</v>
      </c>
      <c r="G6" s="45" t="s">
        <v>46</v>
      </c>
      <c r="H6" s="49" t="s">
        <v>47</v>
      </c>
      <c r="I6" s="45" t="s">
        <v>48</v>
      </c>
    </row>
    <row r="7" spans="2:9">
      <c r="B7" t="s">
        <v>49</v>
      </c>
      <c r="C7" t="s">
        <v>50</v>
      </c>
      <c r="D7" t="s">
        <v>50</v>
      </c>
      <c r="E7" t="s">
        <v>50</v>
      </c>
      <c r="F7" t="s">
        <v>50</v>
      </c>
      <c r="G7" t="s">
        <v>50</v>
      </c>
      <c r="H7" t="s">
        <v>51</v>
      </c>
      <c r="I7" t="s">
        <v>50</v>
      </c>
    </row>
    <row r="8" spans="2:9">
      <c r="B8" t="s">
        <v>52</v>
      </c>
      <c r="C8" t="s">
        <v>50</v>
      </c>
      <c r="D8" t="s">
        <v>53</v>
      </c>
      <c r="E8" t="s">
        <v>53</v>
      </c>
      <c r="F8" t="s">
        <v>53</v>
      </c>
      <c r="G8" t="s">
        <v>53</v>
      </c>
      <c r="H8" t="s">
        <v>51</v>
      </c>
      <c r="I8" t="s">
        <v>50</v>
      </c>
    </row>
    <row r="10" spans="2:9">
      <c r="B10" s="62" t="s">
        <v>54</v>
      </c>
      <c r="C10" s="63"/>
      <c r="D10" s="63"/>
      <c r="E10" s="63"/>
      <c r="F10" s="63"/>
      <c r="G10" s="63"/>
      <c r="H10" s="63"/>
      <c r="I10" s="63"/>
    </row>
    <row r="11" spans="2:9">
      <c r="B11" s="49" t="s">
        <v>41</v>
      </c>
      <c r="C11" s="49" t="s">
        <v>42</v>
      </c>
      <c r="D11" s="45" t="s">
        <v>43</v>
      </c>
      <c r="E11" s="45" t="s">
        <v>44</v>
      </c>
      <c r="F11" s="45" t="s">
        <v>45</v>
      </c>
      <c r="G11" s="45" t="s">
        <v>46</v>
      </c>
      <c r="H11" s="45" t="s">
        <v>55</v>
      </c>
      <c r="I11" s="45"/>
    </row>
    <row r="12" spans="2:9">
      <c r="B12" t="s">
        <v>49</v>
      </c>
      <c r="C12" t="s">
        <v>50</v>
      </c>
      <c r="D12" t="s">
        <v>56</v>
      </c>
      <c r="E12" t="s">
        <v>56</v>
      </c>
      <c r="F12" t="s">
        <v>56</v>
      </c>
      <c r="G12" t="s">
        <v>56</v>
      </c>
      <c r="H12" t="s">
        <v>51</v>
      </c>
    </row>
    <row r="13" spans="2:9">
      <c r="B13" t="s">
        <v>52</v>
      </c>
      <c r="C13" t="s">
        <v>50</v>
      </c>
      <c r="D13" t="s">
        <v>56</v>
      </c>
      <c r="E13" t="s">
        <v>56</v>
      </c>
      <c r="F13" t="s">
        <v>56</v>
      </c>
      <c r="G13" t="s">
        <v>56</v>
      </c>
      <c r="H13" t="s">
        <v>51</v>
      </c>
    </row>
    <row r="15" spans="2:9">
      <c r="B15" s="70" t="s">
        <v>57</v>
      </c>
      <c r="C15" s="71"/>
      <c r="D15" s="71"/>
      <c r="E15" s="71"/>
      <c r="F15" s="71"/>
      <c r="G15" s="71"/>
      <c r="H15" s="71"/>
      <c r="I15" s="71"/>
    </row>
    <row r="16" spans="2:9">
      <c r="B16" s="63" t="s">
        <v>40</v>
      </c>
      <c r="C16" s="63"/>
      <c r="D16" s="63"/>
      <c r="E16" s="63"/>
      <c r="F16" s="63"/>
      <c r="G16" s="63"/>
      <c r="H16" s="63"/>
      <c r="I16" s="63"/>
    </row>
    <row r="17" spans="2:11">
      <c r="B17" s="49" t="s">
        <v>41</v>
      </c>
      <c r="C17" s="49" t="s">
        <v>42</v>
      </c>
      <c r="D17" s="45" t="s">
        <v>43</v>
      </c>
      <c r="E17" s="45" t="s">
        <v>44</v>
      </c>
      <c r="F17" s="45" t="s">
        <v>45</v>
      </c>
      <c r="G17" s="45" t="s">
        <v>46</v>
      </c>
      <c r="H17" s="45" t="s">
        <v>55</v>
      </c>
      <c r="I17" s="45" t="s">
        <v>48</v>
      </c>
    </row>
    <row r="18" spans="2:11">
      <c r="B18" t="s">
        <v>49</v>
      </c>
      <c r="C18" t="s">
        <v>50</v>
      </c>
      <c r="D18" t="s">
        <v>50</v>
      </c>
      <c r="E18" t="s">
        <v>50</v>
      </c>
      <c r="F18" t="s">
        <v>50</v>
      </c>
      <c r="G18" t="s">
        <v>50</v>
      </c>
      <c r="H18" t="s">
        <v>51</v>
      </c>
      <c r="I18" t="s">
        <v>50</v>
      </c>
    </row>
    <row r="19" spans="2:11">
      <c r="B19" t="s">
        <v>52</v>
      </c>
      <c r="C19" t="s">
        <v>50</v>
      </c>
      <c r="D19" t="s">
        <v>53</v>
      </c>
      <c r="E19" t="s">
        <v>53</v>
      </c>
      <c r="F19" t="s">
        <v>53</v>
      </c>
      <c r="G19" t="s">
        <v>50</v>
      </c>
      <c r="H19" t="s">
        <v>58</v>
      </c>
      <c r="I19" t="s">
        <v>50</v>
      </c>
    </row>
    <row r="21" spans="2:11">
      <c r="B21" s="62" t="s">
        <v>59</v>
      </c>
      <c r="C21" s="63"/>
      <c r="D21" s="63"/>
      <c r="E21" s="63"/>
      <c r="F21" s="63"/>
      <c r="G21" s="63"/>
      <c r="H21" s="63"/>
      <c r="I21" s="63"/>
    </row>
    <row r="22" spans="2:11">
      <c r="B22" s="49" t="s">
        <v>41</v>
      </c>
      <c r="C22" s="49" t="s">
        <v>42</v>
      </c>
      <c r="D22" s="45" t="s">
        <v>43</v>
      </c>
      <c r="E22" s="45" t="s">
        <v>44</v>
      </c>
      <c r="F22" s="45" t="s">
        <v>45</v>
      </c>
      <c r="G22" s="45" t="s">
        <v>46</v>
      </c>
      <c r="H22" s="45" t="s">
        <v>55</v>
      </c>
      <c r="I22" s="45" t="s">
        <v>60</v>
      </c>
      <c r="J22" s="45" t="s">
        <v>61</v>
      </c>
      <c r="K22" s="45" t="s">
        <v>62</v>
      </c>
    </row>
    <row r="23" spans="2:11">
      <c r="B23" t="s">
        <v>49</v>
      </c>
      <c r="C23" t="s">
        <v>50</v>
      </c>
      <c r="D23" t="s">
        <v>56</v>
      </c>
      <c r="E23" t="s">
        <v>56</v>
      </c>
      <c r="F23" t="s">
        <v>56</v>
      </c>
      <c r="G23" t="s">
        <v>56</v>
      </c>
      <c r="H23" t="s">
        <v>51</v>
      </c>
      <c r="I23" t="s">
        <v>50</v>
      </c>
      <c r="J23" t="s">
        <v>50</v>
      </c>
      <c r="K23" t="s">
        <v>50</v>
      </c>
    </row>
    <row r="24" spans="2:11">
      <c r="B24" t="s">
        <v>52</v>
      </c>
      <c r="C24" t="s">
        <v>63</v>
      </c>
      <c r="D24" t="s">
        <v>56</v>
      </c>
      <c r="E24" t="s">
        <v>56</v>
      </c>
      <c r="F24" t="s">
        <v>56</v>
      </c>
      <c r="G24" t="s">
        <v>56</v>
      </c>
      <c r="H24" t="s">
        <v>51</v>
      </c>
      <c r="I24" t="s">
        <v>53</v>
      </c>
      <c r="J24" t="s">
        <v>53</v>
      </c>
      <c r="K24" t="s">
        <v>53</v>
      </c>
    </row>
    <row r="26" spans="2:11">
      <c r="B26" s="70" t="s">
        <v>64</v>
      </c>
      <c r="C26" s="71"/>
      <c r="D26" s="71"/>
      <c r="E26" s="71"/>
      <c r="F26" s="71"/>
      <c r="G26" s="71"/>
      <c r="H26" s="71"/>
      <c r="I26" s="71"/>
    </row>
    <row r="27" spans="2:11">
      <c r="B27" s="49" t="s">
        <v>41</v>
      </c>
      <c r="C27" s="49" t="s">
        <v>42</v>
      </c>
      <c r="D27" s="45" t="s">
        <v>43</v>
      </c>
      <c r="E27" s="45" t="s">
        <v>44</v>
      </c>
      <c r="F27" s="45" t="s">
        <v>45</v>
      </c>
      <c r="G27" s="45" t="s">
        <v>46</v>
      </c>
      <c r="H27" s="45" t="s">
        <v>55</v>
      </c>
      <c r="I27" s="45" t="s">
        <v>48</v>
      </c>
    </row>
    <row r="28" spans="2:11">
      <c r="B28" t="s">
        <v>49</v>
      </c>
      <c r="C28" t="s">
        <v>50</v>
      </c>
      <c r="D28" t="s">
        <v>50</v>
      </c>
      <c r="E28" t="s">
        <v>50</v>
      </c>
      <c r="F28" t="s">
        <v>50</v>
      </c>
      <c r="G28" t="s">
        <v>50</v>
      </c>
      <c r="H28" t="s">
        <v>51</v>
      </c>
      <c r="I28" t="s">
        <v>50</v>
      </c>
    </row>
    <row r="29" spans="2:11">
      <c r="B29" t="s">
        <v>52</v>
      </c>
      <c r="C29" t="s">
        <v>50</v>
      </c>
      <c r="D29" t="s">
        <v>50</v>
      </c>
      <c r="E29" t="s">
        <v>50</v>
      </c>
      <c r="F29" t="s">
        <v>53</v>
      </c>
      <c r="G29" t="s">
        <v>50</v>
      </c>
      <c r="H29" t="s">
        <v>58</v>
      </c>
      <c r="I29" t="s">
        <v>50</v>
      </c>
    </row>
    <row r="31" spans="2:11">
      <c r="B31" s="70" t="s">
        <v>65</v>
      </c>
      <c r="C31" s="71"/>
      <c r="D31" s="71"/>
      <c r="E31" s="71"/>
      <c r="F31" s="71"/>
      <c r="G31" s="71"/>
      <c r="H31" s="71"/>
      <c r="I31" s="71"/>
    </row>
    <row r="32" spans="2:11">
      <c r="B32" s="63" t="s">
        <v>66</v>
      </c>
      <c r="C32" s="63"/>
      <c r="D32" s="63"/>
      <c r="E32" s="63"/>
      <c r="F32" s="63"/>
      <c r="G32" s="63"/>
      <c r="H32" s="63"/>
      <c r="I32" s="63"/>
    </row>
    <row r="33" spans="2:13">
      <c r="B33" s="49" t="s">
        <v>41</v>
      </c>
      <c r="C33" s="49" t="s">
        <v>42</v>
      </c>
      <c r="D33" s="45" t="s">
        <v>43</v>
      </c>
      <c r="E33" s="45" t="s">
        <v>44</v>
      </c>
      <c r="F33" s="45" t="s">
        <v>45</v>
      </c>
      <c r="G33" s="45" t="s">
        <v>46</v>
      </c>
      <c r="H33" s="45" t="s">
        <v>55</v>
      </c>
    </row>
    <row r="34" spans="2:13">
      <c r="B34" t="s">
        <v>49</v>
      </c>
      <c r="C34" t="s">
        <v>50</v>
      </c>
      <c r="D34" t="s">
        <v>56</v>
      </c>
      <c r="E34" t="s">
        <v>56</v>
      </c>
      <c r="F34" t="s">
        <v>56</v>
      </c>
      <c r="G34" t="s">
        <v>56</v>
      </c>
      <c r="H34" t="s">
        <v>51</v>
      </c>
    </row>
    <row r="35" spans="2:13">
      <c r="B35" t="s">
        <v>52</v>
      </c>
      <c r="C35" t="s">
        <v>50</v>
      </c>
      <c r="D35" t="s">
        <v>56</v>
      </c>
      <c r="E35" t="s">
        <v>56</v>
      </c>
      <c r="F35" t="s">
        <v>56</v>
      </c>
      <c r="G35" t="s">
        <v>56</v>
      </c>
      <c r="H35" t="s">
        <v>58</v>
      </c>
    </row>
    <row r="37" spans="2:13">
      <c r="B37" s="63" t="s">
        <v>67</v>
      </c>
      <c r="C37" s="63"/>
      <c r="D37" s="63"/>
      <c r="E37" s="63"/>
      <c r="F37" s="63"/>
      <c r="G37" s="63"/>
      <c r="H37" s="63"/>
      <c r="I37" s="67" t="s">
        <v>68</v>
      </c>
      <c r="J37" s="67"/>
      <c r="K37" s="67"/>
      <c r="L37" s="67"/>
      <c r="M37" s="67"/>
    </row>
    <row r="38" spans="2:13">
      <c r="B38" s="49" t="s">
        <v>41</v>
      </c>
      <c r="C38" s="49" t="s">
        <v>42</v>
      </c>
      <c r="D38" s="45" t="s">
        <v>43</v>
      </c>
      <c r="E38" s="45" t="s">
        <v>44</v>
      </c>
      <c r="F38" s="45" t="s">
        <v>45</v>
      </c>
      <c r="G38" s="45" t="s">
        <v>46</v>
      </c>
      <c r="H38" s="45" t="s">
        <v>55</v>
      </c>
      <c r="I38" s="45" t="s">
        <v>69</v>
      </c>
      <c r="J38" s="45" t="s">
        <v>26</v>
      </c>
      <c r="K38" s="45" t="s">
        <v>70</v>
      </c>
      <c r="L38" s="45" t="s">
        <v>71</v>
      </c>
      <c r="M38" s="45" t="s">
        <v>72</v>
      </c>
    </row>
    <row r="39" spans="2:13">
      <c r="B39" t="s">
        <v>49</v>
      </c>
      <c r="C39" t="s">
        <v>50</v>
      </c>
      <c r="D39" t="s">
        <v>50</v>
      </c>
      <c r="E39" t="s">
        <v>50</v>
      </c>
      <c r="F39" t="s">
        <v>50</v>
      </c>
      <c r="G39" t="s">
        <v>50</v>
      </c>
      <c r="H39" t="s">
        <v>51</v>
      </c>
      <c r="I39" t="s">
        <v>50</v>
      </c>
      <c r="J39" t="s">
        <v>50</v>
      </c>
      <c r="K39" t="s">
        <v>50</v>
      </c>
      <c r="L39" t="s">
        <v>50</v>
      </c>
      <c r="M39" t="s">
        <v>50</v>
      </c>
    </row>
    <row r="40" spans="2:13">
      <c r="B40" t="s">
        <v>52</v>
      </c>
      <c r="C40" t="s">
        <v>50</v>
      </c>
      <c r="D40" t="s">
        <v>53</v>
      </c>
      <c r="E40" t="s">
        <v>53</v>
      </c>
      <c r="F40" t="s">
        <v>53</v>
      </c>
      <c r="G40" t="s">
        <v>50</v>
      </c>
      <c r="H40" t="s">
        <v>58</v>
      </c>
      <c r="I40" t="s">
        <v>50</v>
      </c>
      <c r="J40" t="s">
        <v>50</v>
      </c>
      <c r="K40" t="s">
        <v>50</v>
      </c>
      <c r="L40" t="s">
        <v>53</v>
      </c>
      <c r="M40" t="s">
        <v>53</v>
      </c>
    </row>
    <row r="42" spans="2:13">
      <c r="B42" s="70" t="s">
        <v>73</v>
      </c>
      <c r="C42" s="71"/>
      <c r="D42" s="71"/>
      <c r="E42" s="71"/>
      <c r="F42" s="71"/>
      <c r="G42" s="71"/>
      <c r="H42" s="71"/>
      <c r="I42" s="71"/>
      <c r="J42" s="68" t="s">
        <v>68</v>
      </c>
      <c r="K42" s="69"/>
      <c r="L42" s="69"/>
      <c r="M42" s="69"/>
    </row>
    <row r="43" spans="2:13">
      <c r="B43" s="49" t="s">
        <v>41</v>
      </c>
      <c r="C43" s="49" t="s">
        <v>42</v>
      </c>
      <c r="D43" s="45" t="s">
        <v>43</v>
      </c>
      <c r="E43" s="45" t="s">
        <v>44</v>
      </c>
      <c r="F43" s="45" t="s">
        <v>45</v>
      </c>
      <c r="G43" s="45" t="s">
        <v>46</v>
      </c>
      <c r="H43" s="45" t="s">
        <v>55</v>
      </c>
      <c r="I43" s="45" t="s">
        <v>48</v>
      </c>
      <c r="J43" s="45" t="s">
        <v>74</v>
      </c>
      <c r="K43" s="45" t="s">
        <v>26</v>
      </c>
      <c r="L43" s="45" t="s">
        <v>70</v>
      </c>
      <c r="M43" s="45" t="s">
        <v>72</v>
      </c>
    </row>
    <row r="44" spans="2:13">
      <c r="B44" t="s">
        <v>49</v>
      </c>
      <c r="C44" t="s">
        <v>50</v>
      </c>
      <c r="D44" t="s">
        <v>50</v>
      </c>
      <c r="E44" t="s">
        <v>50</v>
      </c>
      <c r="F44" t="s">
        <v>50</v>
      </c>
      <c r="G44" t="s">
        <v>50</v>
      </c>
      <c r="H44" t="s">
        <v>51</v>
      </c>
      <c r="I44" t="s">
        <v>50</v>
      </c>
      <c r="J44" t="s">
        <v>50</v>
      </c>
      <c r="K44" t="s">
        <v>50</v>
      </c>
      <c r="L44" t="s">
        <v>50</v>
      </c>
      <c r="M44" t="s">
        <v>50</v>
      </c>
    </row>
    <row r="45" spans="2:13">
      <c r="B45" t="s">
        <v>52</v>
      </c>
      <c r="C45" t="s">
        <v>50</v>
      </c>
      <c r="D45" t="s">
        <v>50</v>
      </c>
      <c r="E45" t="s">
        <v>50</v>
      </c>
      <c r="F45" t="s">
        <v>53</v>
      </c>
      <c r="G45" t="s">
        <v>50</v>
      </c>
      <c r="H45" t="s">
        <v>58</v>
      </c>
      <c r="I45" t="s">
        <v>50</v>
      </c>
      <c r="J45" t="s">
        <v>75</v>
      </c>
      <c r="K45" t="s">
        <v>50</v>
      </c>
      <c r="L45" t="s">
        <v>50</v>
      </c>
      <c r="M45" t="s">
        <v>53</v>
      </c>
    </row>
  </sheetData>
  <mergeCells count="7">
    <mergeCell ref="I37:M37"/>
    <mergeCell ref="J42:M42"/>
    <mergeCell ref="B4:I4"/>
    <mergeCell ref="B15:I15"/>
    <mergeCell ref="B26:I26"/>
    <mergeCell ref="B31:I31"/>
    <mergeCell ref="B42:I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8087-FB8F-4F5F-9033-666F4AA21661}">
  <dimension ref="A1:G152"/>
  <sheetViews>
    <sheetView tabSelected="1" topLeftCell="A36" zoomScale="130" zoomScaleNormal="130" workbookViewId="0">
      <selection activeCell="B49" sqref="B49"/>
    </sheetView>
  </sheetViews>
  <sheetFormatPr defaultColWidth="20.140625" defaultRowHeight="15"/>
  <cols>
    <col min="1" max="1" width="64.28515625" bestFit="1" customWidth="1"/>
    <col min="2" max="2" width="8.28515625" style="31" bestFit="1" customWidth="1"/>
  </cols>
  <sheetData>
    <row r="1" spans="1:7">
      <c r="A1" s="40" t="s">
        <v>0</v>
      </c>
      <c r="B1" s="41">
        <f>AVERAGE(B2:B4)</f>
        <v>1</v>
      </c>
    </row>
    <row r="2" spans="1:7">
      <c r="A2" s="33" t="s">
        <v>76</v>
      </c>
      <c r="B2" s="38">
        <v>1</v>
      </c>
    </row>
    <row r="3" spans="1:7">
      <c r="A3" s="33" t="s">
        <v>77</v>
      </c>
      <c r="B3" s="38">
        <v>1</v>
      </c>
    </row>
    <row r="4" spans="1:7">
      <c r="A4" s="33" t="s">
        <v>78</v>
      </c>
      <c r="B4" s="38">
        <v>1</v>
      </c>
    </row>
    <row r="5" spans="1:7">
      <c r="A5" s="40" t="s">
        <v>1</v>
      </c>
      <c r="B5" s="41">
        <f>AVERAGE(B6:B10)</f>
        <v>1</v>
      </c>
    </row>
    <row r="6" spans="1:7">
      <c r="A6" s="35" t="s">
        <v>2</v>
      </c>
      <c r="B6" s="38">
        <v>1</v>
      </c>
    </row>
    <row r="7" spans="1:7">
      <c r="A7" s="34" t="s">
        <v>3</v>
      </c>
      <c r="B7" s="38">
        <v>1</v>
      </c>
    </row>
    <row r="8" spans="1:7">
      <c r="A8" s="34" t="s">
        <v>4</v>
      </c>
      <c r="B8" s="38">
        <v>1</v>
      </c>
    </row>
    <row r="9" spans="1:7">
      <c r="A9" s="34" t="s">
        <v>5</v>
      </c>
      <c r="B9" s="38">
        <v>1</v>
      </c>
    </row>
    <row r="10" spans="1:7">
      <c r="A10" s="36" t="s">
        <v>9</v>
      </c>
      <c r="B10" s="41">
        <f>AVERAGE(B11:B14,B18)</f>
        <v>1</v>
      </c>
    </row>
    <row r="11" spans="1:7">
      <c r="A11" s="37" t="s">
        <v>79</v>
      </c>
      <c r="B11" s="38">
        <v>1</v>
      </c>
    </row>
    <row r="12" spans="1:7">
      <c r="A12" s="37" t="s">
        <v>80</v>
      </c>
      <c r="B12" s="38">
        <v>1</v>
      </c>
    </row>
    <row r="13" spans="1:7">
      <c r="A13" s="37" t="s">
        <v>81</v>
      </c>
      <c r="B13" s="38">
        <v>1</v>
      </c>
    </row>
    <row r="14" spans="1:7">
      <c r="A14" s="37" t="s">
        <v>82</v>
      </c>
      <c r="B14" s="38">
        <v>1</v>
      </c>
    </row>
    <row r="15" spans="1:7">
      <c r="A15" s="40" t="s">
        <v>6</v>
      </c>
      <c r="B15" s="41">
        <f>AVERAGE(B16,B24,B31)</f>
        <v>1</v>
      </c>
    </row>
    <row r="16" spans="1:7">
      <c r="A16" s="36" t="s">
        <v>7</v>
      </c>
      <c r="B16" s="41">
        <f>AVERAGE(B17:B23,B26)</f>
        <v>1</v>
      </c>
      <c r="C16" s="44" t="s">
        <v>42</v>
      </c>
      <c r="D16" s="45" t="s">
        <v>43</v>
      </c>
      <c r="E16" s="45" t="s">
        <v>44</v>
      </c>
      <c r="F16" s="45" t="s">
        <v>45</v>
      </c>
      <c r="G16" s="45" t="s">
        <v>46</v>
      </c>
    </row>
    <row r="17" spans="1:7">
      <c r="A17" s="37" t="s">
        <v>83</v>
      </c>
      <c r="B17" s="38">
        <f>AVERAGE(C17:G17)</f>
        <v>1</v>
      </c>
      <c r="C17" s="39">
        <v>1</v>
      </c>
      <c r="D17" s="39" t="s">
        <v>84</v>
      </c>
      <c r="E17" s="39">
        <v>1</v>
      </c>
      <c r="F17" s="39" t="s">
        <v>84</v>
      </c>
      <c r="G17" s="39" t="s">
        <v>84</v>
      </c>
    </row>
    <row r="18" spans="1:7">
      <c r="A18" s="37" t="s">
        <v>85</v>
      </c>
      <c r="B18" s="38">
        <f t="shared" ref="B18:B23" si="0">AVERAGE(C18:G18)</f>
        <v>1</v>
      </c>
      <c r="C18" s="39">
        <v>1</v>
      </c>
      <c r="D18" s="39" t="s">
        <v>84</v>
      </c>
      <c r="E18" s="39">
        <v>1</v>
      </c>
      <c r="F18" s="39" t="s">
        <v>84</v>
      </c>
      <c r="G18" s="39" t="s">
        <v>84</v>
      </c>
    </row>
    <row r="19" spans="1:7">
      <c r="A19" s="37" t="s">
        <v>86</v>
      </c>
      <c r="B19" s="38">
        <f t="shared" si="0"/>
        <v>1</v>
      </c>
      <c r="C19" s="39">
        <v>1</v>
      </c>
      <c r="D19" s="39" t="s">
        <v>84</v>
      </c>
      <c r="E19" s="39">
        <v>1</v>
      </c>
      <c r="F19" s="39" t="s">
        <v>84</v>
      </c>
      <c r="G19" s="39" t="s">
        <v>84</v>
      </c>
    </row>
    <row r="20" spans="1:7">
      <c r="A20" s="37" t="s">
        <v>87</v>
      </c>
      <c r="B20" s="38">
        <f t="shared" si="0"/>
        <v>1</v>
      </c>
      <c r="C20" s="39">
        <v>1</v>
      </c>
      <c r="D20" s="39">
        <v>1</v>
      </c>
      <c r="E20" s="39">
        <v>1</v>
      </c>
      <c r="F20" s="39">
        <v>1</v>
      </c>
      <c r="G20" s="39">
        <v>1</v>
      </c>
    </row>
    <row r="21" spans="1:7">
      <c r="A21" s="37" t="s">
        <v>88</v>
      </c>
      <c r="B21" s="38">
        <f t="shared" si="0"/>
        <v>1</v>
      </c>
      <c r="C21" s="39">
        <v>1</v>
      </c>
      <c r="D21" s="39">
        <v>1</v>
      </c>
      <c r="E21" s="39">
        <v>1</v>
      </c>
      <c r="F21" s="39">
        <v>1</v>
      </c>
      <c r="G21" s="39">
        <v>1</v>
      </c>
    </row>
    <row r="22" spans="1:7">
      <c r="A22" s="37" t="s">
        <v>89</v>
      </c>
      <c r="B22" s="38">
        <f t="shared" si="0"/>
        <v>1</v>
      </c>
      <c r="C22" s="39">
        <v>1</v>
      </c>
      <c r="D22" s="39">
        <v>1</v>
      </c>
      <c r="E22" s="39">
        <v>1</v>
      </c>
      <c r="F22" s="39">
        <v>1</v>
      </c>
      <c r="G22" s="39">
        <v>1</v>
      </c>
    </row>
    <row r="23" spans="1:7">
      <c r="A23" s="37" t="s">
        <v>90</v>
      </c>
      <c r="B23" s="38">
        <f t="shared" si="0"/>
        <v>1</v>
      </c>
      <c r="C23" s="39">
        <v>1</v>
      </c>
      <c r="D23" s="39">
        <v>1</v>
      </c>
      <c r="E23" s="39">
        <v>1</v>
      </c>
      <c r="F23" s="39">
        <v>1</v>
      </c>
      <c r="G23" s="39">
        <v>1</v>
      </c>
    </row>
    <row r="24" spans="1:7">
      <c r="A24" s="46" t="s">
        <v>8</v>
      </c>
      <c r="B24" s="41">
        <f>AVERAGE(B25:B30,B34)</f>
        <v>1</v>
      </c>
    </row>
    <row r="25" spans="1:7">
      <c r="A25" s="37" t="s">
        <v>91</v>
      </c>
      <c r="B25" s="38">
        <v>1</v>
      </c>
    </row>
    <row r="26" spans="1:7">
      <c r="A26" s="37" t="s">
        <v>92</v>
      </c>
      <c r="B26" s="38">
        <v>1</v>
      </c>
    </row>
    <row r="27" spans="1:7">
      <c r="A27" s="37" t="s">
        <v>93</v>
      </c>
      <c r="B27" s="38">
        <v>1</v>
      </c>
    </row>
    <row r="28" spans="1:7">
      <c r="A28" s="37" t="s">
        <v>94</v>
      </c>
      <c r="B28" s="38">
        <v>1</v>
      </c>
    </row>
    <row r="29" spans="1:7">
      <c r="A29" s="37" t="s">
        <v>95</v>
      </c>
      <c r="B29" s="38">
        <v>1</v>
      </c>
    </row>
    <row r="30" spans="1:7">
      <c r="A30" s="37" t="str">
        <f>A109</f>
        <v>Campos de Mapa Estrategico: Selector de Nivel, Selector de Orientacion, Selector de Perspectiva, Selector Objetivos al que impacta, Estado del Objetivo</v>
      </c>
      <c r="B30" s="38">
        <v>1</v>
      </c>
    </row>
    <row r="31" spans="1:7">
      <c r="A31" s="36" t="s">
        <v>9</v>
      </c>
      <c r="B31" s="41">
        <f>AVERAGE(B32)</f>
        <v>1</v>
      </c>
    </row>
    <row r="32" spans="1:7">
      <c r="A32" s="37" t="s">
        <v>79</v>
      </c>
      <c r="B32" s="38">
        <v>1</v>
      </c>
    </row>
    <row r="33" spans="1:7">
      <c r="A33" s="32" t="s">
        <v>10</v>
      </c>
      <c r="B33" s="41">
        <f>AVERAGE(B34,B40,B49)</f>
        <v>0.9375</v>
      </c>
    </row>
    <row r="34" spans="1:7">
      <c r="A34" s="36" t="s">
        <v>7</v>
      </c>
      <c r="B34" s="41">
        <f>AVERAGE(B35:B39)</f>
        <v>1</v>
      </c>
      <c r="C34" s="44" t="s">
        <v>42</v>
      </c>
      <c r="D34" s="45" t="s">
        <v>43</v>
      </c>
      <c r="E34" s="45" t="s">
        <v>44</v>
      </c>
      <c r="F34" s="45" t="s">
        <v>45</v>
      </c>
      <c r="G34" s="45" t="s">
        <v>46</v>
      </c>
    </row>
    <row r="35" spans="1:7">
      <c r="A35" s="37" t="s">
        <v>83</v>
      </c>
      <c r="B35" s="38">
        <f>AVERAGE(C35:G35)</f>
        <v>1</v>
      </c>
      <c r="C35" s="39">
        <v>1</v>
      </c>
      <c r="D35" s="39" t="s">
        <v>84</v>
      </c>
      <c r="E35" s="39">
        <v>1</v>
      </c>
      <c r="F35" s="39">
        <v>1</v>
      </c>
      <c r="G35" s="39">
        <v>1</v>
      </c>
    </row>
    <row r="36" spans="1:7">
      <c r="A36" s="37" t="s">
        <v>85</v>
      </c>
      <c r="B36" s="38">
        <f t="shared" ref="B36:B38" si="1">AVERAGE(C36:G36)</f>
        <v>1</v>
      </c>
      <c r="C36" s="39">
        <v>1</v>
      </c>
      <c r="D36" s="39" t="s">
        <v>84</v>
      </c>
      <c r="E36" s="39">
        <v>1</v>
      </c>
      <c r="F36" s="39">
        <v>1</v>
      </c>
      <c r="G36" s="39">
        <v>1</v>
      </c>
    </row>
    <row r="37" spans="1:7">
      <c r="A37" s="37" t="s">
        <v>96</v>
      </c>
      <c r="B37" s="38">
        <f t="shared" si="1"/>
        <v>1</v>
      </c>
      <c r="C37" s="39">
        <v>1</v>
      </c>
      <c r="D37" s="39">
        <v>1</v>
      </c>
      <c r="E37" s="39">
        <v>1</v>
      </c>
      <c r="F37" s="39">
        <v>1</v>
      </c>
      <c r="G37" s="39">
        <v>1</v>
      </c>
    </row>
    <row r="38" spans="1:7">
      <c r="A38" s="37" t="s">
        <v>97</v>
      </c>
      <c r="B38" s="38">
        <f t="shared" si="1"/>
        <v>1</v>
      </c>
      <c r="C38" s="39">
        <v>1</v>
      </c>
      <c r="D38" s="39">
        <v>1</v>
      </c>
      <c r="E38" s="39">
        <v>1</v>
      </c>
      <c r="F38" s="39">
        <v>1</v>
      </c>
      <c r="G38" s="39">
        <v>1</v>
      </c>
    </row>
    <row r="39" spans="1:7">
      <c r="A39" s="37" t="s">
        <v>98</v>
      </c>
      <c r="B39" s="38">
        <f t="shared" ref="B39" si="2">AVERAGE(C39:G39)</f>
        <v>1</v>
      </c>
      <c r="C39" s="39">
        <v>1</v>
      </c>
      <c r="D39" s="39">
        <v>1</v>
      </c>
      <c r="E39" s="39">
        <v>1</v>
      </c>
      <c r="F39" s="39">
        <v>1</v>
      </c>
      <c r="G39" s="39">
        <v>1</v>
      </c>
    </row>
    <row r="40" spans="1:7">
      <c r="A40" s="36" t="s">
        <v>11</v>
      </c>
      <c r="B40" s="41">
        <f>AVERAGE(B41:B48)</f>
        <v>0.8125</v>
      </c>
      <c r="C40" s="47"/>
      <c r="D40" s="47"/>
      <c r="E40" s="47"/>
      <c r="F40" s="47"/>
      <c r="G40" s="47"/>
    </row>
    <row r="41" spans="1:7">
      <c r="A41" s="37" t="s">
        <v>99</v>
      </c>
      <c r="B41" s="38">
        <v>1</v>
      </c>
      <c r="C41" s="47"/>
      <c r="D41" s="47"/>
      <c r="E41" s="47"/>
      <c r="F41" s="47"/>
      <c r="G41" s="47"/>
    </row>
    <row r="42" spans="1:7">
      <c r="A42" s="37" t="s">
        <v>100</v>
      </c>
      <c r="B42" s="38">
        <v>1</v>
      </c>
      <c r="C42" s="47"/>
      <c r="D42" s="47"/>
      <c r="E42" s="47"/>
      <c r="F42" s="47"/>
      <c r="G42" s="47"/>
    </row>
    <row r="43" spans="1:7">
      <c r="A43" s="37" t="s">
        <v>101</v>
      </c>
      <c r="B43" s="38">
        <v>1</v>
      </c>
      <c r="C43" s="47"/>
      <c r="D43" s="47"/>
      <c r="E43" s="47"/>
      <c r="F43" s="47"/>
      <c r="G43" s="47"/>
    </row>
    <row r="44" spans="1:7">
      <c r="A44" s="37" t="s">
        <v>102</v>
      </c>
      <c r="B44" s="38">
        <v>1</v>
      </c>
      <c r="C44" s="47"/>
      <c r="D44" s="47"/>
      <c r="E44" s="47"/>
      <c r="F44" s="47"/>
      <c r="G44" s="47"/>
    </row>
    <row r="45" spans="1:7">
      <c r="A45" s="37" t="s">
        <v>103</v>
      </c>
      <c r="B45" s="38">
        <v>1</v>
      </c>
      <c r="C45" s="47"/>
      <c r="D45" s="47"/>
      <c r="E45" s="47"/>
      <c r="F45" s="47"/>
      <c r="G45" s="47"/>
    </row>
    <row r="46" spans="1:7">
      <c r="A46" s="37" t="s">
        <v>104</v>
      </c>
      <c r="B46" s="38">
        <v>0.5</v>
      </c>
      <c r="C46" s="47"/>
      <c r="D46" s="47"/>
      <c r="E46" s="47"/>
      <c r="F46" s="47"/>
      <c r="G46" s="47"/>
    </row>
    <row r="47" spans="1:7">
      <c r="A47" s="37" t="s">
        <v>105</v>
      </c>
      <c r="B47" s="38">
        <v>0.5</v>
      </c>
      <c r="C47" s="47"/>
      <c r="D47" s="47"/>
      <c r="E47" s="47"/>
      <c r="F47" s="47"/>
      <c r="G47" s="47"/>
    </row>
    <row r="48" spans="1:7">
      <c r="A48" s="37" t="s">
        <v>106</v>
      </c>
      <c r="B48" s="38">
        <v>0.5</v>
      </c>
    </row>
    <row r="49" spans="1:2">
      <c r="A49" s="36" t="s">
        <v>9</v>
      </c>
      <c r="B49" s="41">
        <f>AVERAGE(B50:B53)</f>
        <v>1</v>
      </c>
    </row>
    <row r="50" spans="1:2">
      <c r="A50" s="37" t="s">
        <v>79</v>
      </c>
      <c r="B50" s="38">
        <v>1</v>
      </c>
    </row>
    <row r="51" spans="1:2">
      <c r="A51" s="37" t="s">
        <v>80</v>
      </c>
      <c r="B51" s="38">
        <v>1</v>
      </c>
    </row>
    <row r="52" spans="1:2">
      <c r="A52" s="37" t="s">
        <v>81</v>
      </c>
      <c r="B52" s="38">
        <v>1</v>
      </c>
    </row>
    <row r="53" spans="1:2">
      <c r="A53" s="37" t="s">
        <v>82</v>
      </c>
      <c r="B53" s="38">
        <v>1</v>
      </c>
    </row>
    <row r="54" spans="1:2">
      <c r="A54" s="32" t="s">
        <v>12</v>
      </c>
      <c r="B54" s="41">
        <f>AVERAGE(B55,B60,B72,B76,B81)</f>
        <v>0.97499999999999998</v>
      </c>
    </row>
    <row r="55" spans="1:2">
      <c r="A55" s="51" t="s">
        <v>13</v>
      </c>
      <c r="B55" s="41">
        <f>AVERAGE(B56:B59)</f>
        <v>1</v>
      </c>
    </row>
    <row r="56" spans="1:2">
      <c r="A56" s="37" t="s">
        <v>107</v>
      </c>
      <c r="B56" s="38">
        <v>1</v>
      </c>
    </row>
    <row r="57" spans="1:2">
      <c r="A57" s="37" t="s">
        <v>108</v>
      </c>
      <c r="B57" s="38">
        <v>1</v>
      </c>
    </row>
    <row r="58" spans="1:2">
      <c r="A58" s="37" t="s">
        <v>109</v>
      </c>
      <c r="B58" s="38">
        <v>1</v>
      </c>
    </row>
    <row r="59" spans="1:2">
      <c r="A59" s="37" t="s">
        <v>110</v>
      </c>
      <c r="B59" s="38">
        <v>1</v>
      </c>
    </row>
    <row r="60" spans="1:2">
      <c r="A60" s="51" t="s">
        <v>14</v>
      </c>
      <c r="B60" s="41">
        <f>AVERAGE(B61:B71)</f>
        <v>1</v>
      </c>
    </row>
    <row r="61" spans="1:2">
      <c r="A61" s="37" t="s">
        <v>111</v>
      </c>
      <c r="B61" s="38">
        <v>1</v>
      </c>
    </row>
    <row r="62" spans="1:2">
      <c r="A62" s="37" t="s">
        <v>112</v>
      </c>
      <c r="B62" s="38">
        <v>1</v>
      </c>
    </row>
    <row r="63" spans="1:2">
      <c r="A63" s="37" t="s">
        <v>113</v>
      </c>
      <c r="B63" s="38">
        <v>1</v>
      </c>
    </row>
    <row r="64" spans="1:2">
      <c r="A64" s="37" t="s">
        <v>114</v>
      </c>
      <c r="B64" s="38">
        <v>1</v>
      </c>
    </row>
    <row r="65" spans="1:7">
      <c r="A65" s="37" t="s">
        <v>115</v>
      </c>
      <c r="B65" s="38">
        <v>1</v>
      </c>
    </row>
    <row r="66" spans="1:7">
      <c r="A66" s="37" t="s">
        <v>110</v>
      </c>
      <c r="B66" s="38">
        <v>1</v>
      </c>
    </row>
    <row r="67" spans="1:7">
      <c r="A67" s="37" t="s">
        <v>116</v>
      </c>
      <c r="B67" s="38">
        <v>1</v>
      </c>
    </row>
    <row r="68" spans="1:7">
      <c r="A68" s="37" t="s">
        <v>117</v>
      </c>
      <c r="B68" s="38">
        <v>1</v>
      </c>
    </row>
    <row r="69" spans="1:7">
      <c r="A69" s="37" t="s">
        <v>118</v>
      </c>
      <c r="B69" s="38">
        <v>1</v>
      </c>
    </row>
    <row r="70" spans="1:7">
      <c r="A70" s="37" t="s">
        <v>119</v>
      </c>
      <c r="B70" s="38">
        <v>1</v>
      </c>
    </row>
    <row r="71" spans="1:7">
      <c r="A71" s="37" t="s">
        <v>120</v>
      </c>
      <c r="B71" s="38">
        <v>1</v>
      </c>
    </row>
    <row r="72" spans="1:7">
      <c r="A72" s="36" t="s">
        <v>15</v>
      </c>
      <c r="B72" s="41">
        <f>AVERAGE(B73:B75)</f>
        <v>1</v>
      </c>
      <c r="C72" s="49" t="s">
        <v>42</v>
      </c>
      <c r="D72" s="45" t="s">
        <v>43</v>
      </c>
      <c r="E72" s="45" t="s">
        <v>44</v>
      </c>
      <c r="F72" s="45" t="s">
        <v>45</v>
      </c>
      <c r="G72" s="45" t="s">
        <v>46</v>
      </c>
    </row>
    <row r="73" spans="1:7">
      <c r="A73" s="37" t="s">
        <v>121</v>
      </c>
      <c r="B73" s="38">
        <f>AVERAGE(C73:G73)</f>
        <v>1</v>
      </c>
      <c r="C73" s="50">
        <v>1</v>
      </c>
      <c r="D73" s="39">
        <v>1</v>
      </c>
      <c r="E73" s="39">
        <v>1</v>
      </c>
      <c r="F73" s="39" t="s">
        <v>84</v>
      </c>
      <c r="G73" s="39" t="s">
        <v>84</v>
      </c>
    </row>
    <row r="74" spans="1:7">
      <c r="A74" s="37" t="s">
        <v>122</v>
      </c>
      <c r="B74" s="38">
        <f t="shared" ref="B74:B75" si="3">AVERAGE(C74:G74)</f>
        <v>1</v>
      </c>
      <c r="C74" s="50">
        <v>1</v>
      </c>
      <c r="D74" s="39">
        <v>1</v>
      </c>
      <c r="E74" s="39">
        <v>1</v>
      </c>
      <c r="F74" s="39">
        <v>1</v>
      </c>
      <c r="G74" s="39">
        <v>1</v>
      </c>
    </row>
    <row r="75" spans="1:7">
      <c r="A75" s="37" t="s">
        <v>123</v>
      </c>
      <c r="B75" s="38">
        <f t="shared" si="3"/>
        <v>1</v>
      </c>
      <c r="C75" s="50">
        <v>1</v>
      </c>
      <c r="D75" s="39">
        <v>1</v>
      </c>
      <c r="E75" s="39">
        <v>1</v>
      </c>
      <c r="F75" s="39">
        <v>1</v>
      </c>
      <c r="G75" s="39">
        <v>1</v>
      </c>
    </row>
    <row r="76" spans="1:7">
      <c r="A76" s="36" t="s">
        <v>16</v>
      </c>
      <c r="B76" s="41">
        <f>AVERAGE(B77:B80)</f>
        <v>0.875</v>
      </c>
      <c r="C76" s="47"/>
      <c r="D76" s="47"/>
      <c r="E76" s="47"/>
      <c r="F76" s="47"/>
      <c r="G76" s="47"/>
    </row>
    <row r="77" spans="1:7" ht="30">
      <c r="A77" s="48" t="s">
        <v>124</v>
      </c>
      <c r="B77" s="38">
        <v>1</v>
      </c>
      <c r="C77" s="47"/>
      <c r="D77" s="47"/>
      <c r="E77" s="47"/>
      <c r="F77" s="47"/>
      <c r="G77" s="47"/>
    </row>
    <row r="78" spans="1:7">
      <c r="A78" s="37" t="s">
        <v>125</v>
      </c>
      <c r="B78" s="38">
        <v>1</v>
      </c>
      <c r="C78" s="47"/>
      <c r="D78" s="47"/>
      <c r="E78" s="47"/>
      <c r="F78" s="47"/>
      <c r="G78" s="47"/>
    </row>
    <row r="79" spans="1:7" ht="60">
      <c r="A79" s="48" t="s">
        <v>126</v>
      </c>
      <c r="B79" s="38">
        <v>1</v>
      </c>
      <c r="C79" s="47"/>
      <c r="D79" s="47"/>
      <c r="E79" s="47"/>
      <c r="F79" s="47"/>
      <c r="G79" s="47"/>
    </row>
    <row r="80" spans="1:7" ht="30">
      <c r="A80" s="60" t="s">
        <v>127</v>
      </c>
      <c r="B80" s="38">
        <v>0.5</v>
      </c>
      <c r="C80" s="47"/>
      <c r="D80" s="47"/>
      <c r="E80" s="47"/>
      <c r="F80" s="47"/>
      <c r="G80" s="47"/>
    </row>
    <row r="81" spans="1:7">
      <c r="A81" s="36" t="s">
        <v>9</v>
      </c>
      <c r="B81" s="41">
        <f>AVERAGE(B82:B83)</f>
        <v>1</v>
      </c>
      <c r="C81" s="47"/>
      <c r="D81" s="47"/>
      <c r="E81" s="47"/>
      <c r="F81" s="47"/>
      <c r="G81" s="47"/>
    </row>
    <row r="82" spans="1:7">
      <c r="A82" s="37" t="s">
        <v>79</v>
      </c>
      <c r="B82" s="38">
        <v>1</v>
      </c>
      <c r="C82" s="47"/>
      <c r="D82" s="47"/>
      <c r="E82" s="47"/>
      <c r="F82" s="47"/>
      <c r="G82" s="47"/>
    </row>
    <row r="83" spans="1:7">
      <c r="A83" s="37" t="s">
        <v>80</v>
      </c>
      <c r="B83" s="38">
        <v>1</v>
      </c>
      <c r="C83" s="47"/>
      <c r="D83" s="47"/>
      <c r="E83" s="47"/>
      <c r="F83" s="47"/>
      <c r="G83" s="47"/>
    </row>
    <row r="84" spans="1:7">
      <c r="A84" s="32" t="s">
        <v>18</v>
      </c>
      <c r="B84" s="41">
        <f>AVERAGE(B85,B104,B107,B112,B113)</f>
        <v>0.98666666666666669</v>
      </c>
    </row>
    <row r="85" spans="1:7">
      <c r="A85" s="36" t="s">
        <v>19</v>
      </c>
      <c r="B85" s="41">
        <f>AVERAGE(B86,B90,B96)</f>
        <v>0.93333333333333324</v>
      </c>
    </row>
    <row r="86" spans="1:7">
      <c r="A86" s="52" t="s">
        <v>13</v>
      </c>
      <c r="B86" s="41">
        <f>AVERAGE(B87:B89)</f>
        <v>1</v>
      </c>
    </row>
    <row r="87" spans="1:7">
      <c r="A87" s="53" t="s">
        <v>128</v>
      </c>
      <c r="B87" s="38">
        <v>1</v>
      </c>
    </row>
    <row r="88" spans="1:7">
      <c r="A88" s="53" t="s">
        <v>129</v>
      </c>
      <c r="B88" s="38">
        <v>1</v>
      </c>
    </row>
    <row r="89" spans="1:7">
      <c r="A89" s="53" t="s">
        <v>130</v>
      </c>
      <c r="B89" s="38">
        <v>1</v>
      </c>
    </row>
    <row r="90" spans="1:7">
      <c r="A90" s="55" t="s">
        <v>20</v>
      </c>
      <c r="B90" s="41">
        <f>AVERAGE(B91:B95)</f>
        <v>0.8</v>
      </c>
    </row>
    <row r="91" spans="1:7">
      <c r="A91" s="54" t="s">
        <v>131</v>
      </c>
      <c r="B91" s="38">
        <v>1</v>
      </c>
    </row>
    <row r="92" spans="1:7">
      <c r="A92" s="54" t="s">
        <v>132</v>
      </c>
      <c r="B92" s="38">
        <v>1</v>
      </c>
    </row>
    <row r="93" spans="1:7">
      <c r="A93" s="54" t="s">
        <v>133</v>
      </c>
      <c r="B93" s="38">
        <v>1</v>
      </c>
    </row>
    <row r="94" spans="1:7">
      <c r="A94" s="54" t="s">
        <v>134</v>
      </c>
      <c r="B94" s="38">
        <v>1</v>
      </c>
    </row>
    <row r="95" spans="1:7">
      <c r="A95" s="54" t="s">
        <v>135</v>
      </c>
      <c r="B95" s="38">
        <v>0</v>
      </c>
    </row>
    <row r="96" spans="1:7">
      <c r="A96" s="55" t="s">
        <v>21</v>
      </c>
      <c r="B96" s="41">
        <v>1</v>
      </c>
    </row>
    <row r="97" spans="1:7">
      <c r="A97" s="36" t="s">
        <v>22</v>
      </c>
      <c r="B97" s="41">
        <f>AVERAGE(B98,B101)</f>
        <v>1</v>
      </c>
    </row>
    <row r="98" spans="1:7">
      <c r="A98" s="52" t="s">
        <v>23</v>
      </c>
      <c r="B98" s="41">
        <f>AVERAGE(B99:B100)</f>
        <v>1</v>
      </c>
    </row>
    <row r="99" spans="1:7">
      <c r="A99" s="53" t="s">
        <v>136</v>
      </c>
      <c r="B99" s="38">
        <v>1</v>
      </c>
    </row>
    <row r="100" spans="1:7" ht="30">
      <c r="A100" s="56" t="s">
        <v>137</v>
      </c>
      <c r="B100" s="38">
        <v>1</v>
      </c>
    </row>
    <row r="101" spans="1:7">
      <c r="A101" s="52" t="s">
        <v>24</v>
      </c>
      <c r="B101" s="41">
        <f>AVERAGE(B102:B103)</f>
        <v>1</v>
      </c>
    </row>
    <row r="102" spans="1:7">
      <c r="A102" s="53" t="s">
        <v>136</v>
      </c>
      <c r="B102" s="38">
        <v>1</v>
      </c>
    </row>
    <row r="103" spans="1:7" ht="30">
      <c r="A103" s="56" t="s">
        <v>138</v>
      </c>
      <c r="B103" s="38">
        <v>1</v>
      </c>
    </row>
    <row r="104" spans="1:7">
      <c r="A104" s="36" t="s">
        <v>15</v>
      </c>
      <c r="B104" s="41">
        <f>AVERAGE(B105:B106)</f>
        <v>1</v>
      </c>
      <c r="C104" s="49" t="s">
        <v>42</v>
      </c>
      <c r="D104" s="45" t="s">
        <v>43</v>
      </c>
      <c r="E104" s="45" t="s">
        <v>44</v>
      </c>
      <c r="F104" s="45" t="s">
        <v>45</v>
      </c>
      <c r="G104" s="45" t="s">
        <v>46</v>
      </c>
    </row>
    <row r="105" spans="1:7">
      <c r="A105" s="37" t="s">
        <v>139</v>
      </c>
      <c r="B105" s="38">
        <f>AVERAGE(C105:G105)</f>
        <v>1</v>
      </c>
      <c r="C105" s="50">
        <v>1</v>
      </c>
      <c r="D105" s="39">
        <v>1</v>
      </c>
      <c r="E105" s="39">
        <v>1</v>
      </c>
      <c r="F105" s="39" t="s">
        <v>84</v>
      </c>
      <c r="G105" s="39" t="s">
        <v>84</v>
      </c>
    </row>
    <row r="106" spans="1:7">
      <c r="A106" s="48" t="s">
        <v>140</v>
      </c>
      <c r="B106" s="38">
        <f>AVERAGE(C106:G106)</f>
        <v>1</v>
      </c>
      <c r="C106" s="50">
        <v>1</v>
      </c>
      <c r="D106" s="39">
        <v>1</v>
      </c>
      <c r="E106" s="39">
        <v>1</v>
      </c>
      <c r="F106" s="39" t="s">
        <v>84</v>
      </c>
      <c r="G106" s="39" t="s">
        <v>84</v>
      </c>
    </row>
    <row r="107" spans="1:7">
      <c r="A107" s="36" t="s">
        <v>16</v>
      </c>
      <c r="B107" s="41">
        <f>AVERAGE(B108:B111)</f>
        <v>1</v>
      </c>
      <c r="C107" s="47"/>
      <c r="D107" s="47"/>
      <c r="E107" s="47"/>
      <c r="F107" s="47"/>
      <c r="G107" s="47"/>
    </row>
    <row r="108" spans="1:7" ht="30">
      <c r="A108" s="48" t="s">
        <v>141</v>
      </c>
      <c r="B108" s="38">
        <v>1</v>
      </c>
      <c r="C108" s="47"/>
      <c r="D108" s="47"/>
      <c r="E108" s="47"/>
      <c r="F108" s="47"/>
      <c r="G108" s="47"/>
    </row>
    <row r="109" spans="1:7" ht="45">
      <c r="A109" s="48" t="s">
        <v>142</v>
      </c>
      <c r="B109" s="38">
        <v>1</v>
      </c>
      <c r="C109" s="47"/>
      <c r="D109" s="47"/>
      <c r="E109" s="47"/>
      <c r="F109" s="47"/>
      <c r="G109" s="47"/>
    </row>
    <row r="110" spans="1:7" ht="75">
      <c r="A110" s="48" t="s">
        <v>143</v>
      </c>
      <c r="B110" s="38">
        <v>1</v>
      </c>
    </row>
    <row r="111" spans="1:7" ht="30">
      <c r="A111" s="57" t="s">
        <v>144</v>
      </c>
      <c r="B111" s="38">
        <v>1</v>
      </c>
    </row>
    <row r="112" spans="1:7">
      <c r="A112" s="51" t="s">
        <v>25</v>
      </c>
      <c r="B112" s="41">
        <v>1</v>
      </c>
    </row>
    <row r="113" spans="1:7">
      <c r="A113" s="36" t="s">
        <v>9</v>
      </c>
      <c r="B113" s="41">
        <f>AVERAGE(B114:B117)</f>
        <v>1</v>
      </c>
    </row>
    <row r="114" spans="1:7">
      <c r="A114" s="37" t="s">
        <v>79</v>
      </c>
      <c r="B114" s="38">
        <v>1</v>
      </c>
    </row>
    <row r="115" spans="1:7">
      <c r="A115" s="37" t="s">
        <v>80</v>
      </c>
      <c r="B115" s="38">
        <v>1</v>
      </c>
    </row>
    <row r="116" spans="1:7">
      <c r="A116" s="37" t="s">
        <v>81</v>
      </c>
      <c r="B116" s="38">
        <v>1</v>
      </c>
    </row>
    <row r="117" spans="1:7">
      <c r="A117" s="37" t="s">
        <v>82</v>
      </c>
      <c r="B117" s="38">
        <v>1</v>
      </c>
    </row>
    <row r="118" spans="1:7">
      <c r="A118" s="32" t="s">
        <v>28</v>
      </c>
      <c r="B118" s="41">
        <f>AVERAGE(B119,B124,B127,B129,B131)</f>
        <v>1</v>
      </c>
    </row>
    <row r="119" spans="1:7">
      <c r="A119" s="51" t="s">
        <v>29</v>
      </c>
      <c r="B119" s="41">
        <f>AVERAGE(B120:B123)</f>
        <v>1</v>
      </c>
    </row>
    <row r="120" spans="1:7">
      <c r="A120" s="37" t="s">
        <v>145</v>
      </c>
      <c r="B120" s="38">
        <v>1</v>
      </c>
    </row>
    <row r="121" spans="1:7">
      <c r="A121" s="37" t="s">
        <v>146</v>
      </c>
      <c r="B121" s="38">
        <v>1</v>
      </c>
    </row>
    <row r="122" spans="1:7">
      <c r="A122" s="37" t="s">
        <v>147</v>
      </c>
      <c r="B122" s="38">
        <v>1</v>
      </c>
    </row>
    <row r="123" spans="1:7">
      <c r="A123" s="37" t="s">
        <v>148</v>
      </c>
      <c r="B123" s="38">
        <v>1</v>
      </c>
    </row>
    <row r="124" spans="1:7">
      <c r="A124" s="36" t="s">
        <v>30</v>
      </c>
      <c r="B124" s="41">
        <f>AVERAGE(B125:B126)</f>
        <v>1</v>
      </c>
    </row>
    <row r="125" spans="1:7" ht="30">
      <c r="A125" s="48" t="s">
        <v>149</v>
      </c>
      <c r="B125" s="38">
        <v>1</v>
      </c>
    </row>
    <row r="126" spans="1:7" ht="30">
      <c r="A126" s="48" t="s">
        <v>150</v>
      </c>
      <c r="B126" s="38">
        <v>1</v>
      </c>
    </row>
    <row r="127" spans="1:7">
      <c r="A127" s="36" t="s">
        <v>15</v>
      </c>
      <c r="B127" s="41">
        <f>AVERAGE(B128:B130)</f>
        <v>1</v>
      </c>
      <c r="C127" s="49" t="s">
        <v>42</v>
      </c>
      <c r="D127" s="45" t="s">
        <v>43</v>
      </c>
      <c r="E127" s="45" t="s">
        <v>44</v>
      </c>
      <c r="F127" s="45" t="s">
        <v>45</v>
      </c>
      <c r="G127" s="45" t="s">
        <v>46</v>
      </c>
    </row>
    <row r="128" spans="1:7">
      <c r="A128" s="37" t="s">
        <v>28</v>
      </c>
      <c r="B128" s="38">
        <f>AVERAGE(C128:G128)</f>
        <v>1</v>
      </c>
      <c r="C128" s="50">
        <v>1</v>
      </c>
      <c r="D128" s="39">
        <v>1</v>
      </c>
      <c r="E128" s="39">
        <v>1</v>
      </c>
      <c r="F128" s="39">
        <v>1</v>
      </c>
      <c r="G128" s="39" t="s">
        <v>84</v>
      </c>
    </row>
    <row r="129" spans="1:7">
      <c r="A129" s="36" t="s">
        <v>16</v>
      </c>
      <c r="B129" s="41">
        <f>AVERAGE(B130:B131)</f>
        <v>1</v>
      </c>
      <c r="C129" s="47"/>
      <c r="D129" s="47"/>
      <c r="E129" s="47"/>
      <c r="F129" s="47"/>
      <c r="G129" s="47"/>
    </row>
    <row r="130" spans="1:7" ht="45">
      <c r="A130" s="48" t="s">
        <v>151</v>
      </c>
      <c r="B130" s="38">
        <v>1</v>
      </c>
      <c r="C130" s="47"/>
      <c r="D130" s="47"/>
      <c r="E130" s="47"/>
      <c r="F130" s="47"/>
      <c r="G130" s="47"/>
    </row>
    <row r="131" spans="1:7">
      <c r="A131" s="36" t="s">
        <v>9</v>
      </c>
      <c r="B131" s="41">
        <f>AVERAGE(B132:B135)</f>
        <v>1</v>
      </c>
    </row>
    <row r="132" spans="1:7">
      <c r="A132" s="37" t="s">
        <v>79</v>
      </c>
      <c r="B132" s="38">
        <v>1</v>
      </c>
    </row>
    <row r="133" spans="1:7">
      <c r="A133" s="37" t="s">
        <v>80</v>
      </c>
      <c r="B133" s="38">
        <v>1</v>
      </c>
    </row>
    <row r="134" spans="1:7">
      <c r="A134" s="37" t="s">
        <v>81</v>
      </c>
      <c r="B134" s="38">
        <v>1</v>
      </c>
    </row>
    <row r="135" spans="1:7">
      <c r="A135" s="37" t="s">
        <v>82</v>
      </c>
      <c r="B135" s="38">
        <v>1</v>
      </c>
    </row>
    <row r="136" spans="1:7">
      <c r="A136" s="11" t="s">
        <v>26</v>
      </c>
      <c r="B136" s="41">
        <f>AVERAGE(B137:B138)</f>
        <v>1</v>
      </c>
    </row>
    <row r="137" spans="1:7">
      <c r="A137" s="8" t="s">
        <v>18</v>
      </c>
      <c r="B137" s="42">
        <v>1</v>
      </c>
    </row>
    <row r="138" spans="1:7">
      <c r="A138" s="8" t="s">
        <v>28</v>
      </c>
      <c r="B138" s="42">
        <v>1</v>
      </c>
    </row>
    <row r="139" spans="1:7">
      <c r="A139" s="11" t="s">
        <v>27</v>
      </c>
      <c r="B139" s="41">
        <f>AVERAGE(B140:B141)</f>
        <v>1</v>
      </c>
    </row>
    <row r="140" spans="1:7">
      <c r="A140" s="8" t="s">
        <v>18</v>
      </c>
      <c r="B140" s="42">
        <v>1</v>
      </c>
    </row>
    <row r="141" spans="1:7">
      <c r="A141" s="8" t="s">
        <v>28</v>
      </c>
      <c r="B141" s="42">
        <v>1</v>
      </c>
    </row>
    <row r="142" spans="1:7">
      <c r="A142" s="14" t="s">
        <v>17</v>
      </c>
      <c r="B142" s="41">
        <f>AVERAGE(B143:B145)</f>
        <v>1</v>
      </c>
    </row>
    <row r="143" spans="1:7">
      <c r="A143" s="8" t="s">
        <v>6</v>
      </c>
      <c r="B143" s="42">
        <v>1</v>
      </c>
    </row>
    <row r="144" spans="1:7">
      <c r="A144" s="8" t="s">
        <v>152</v>
      </c>
      <c r="B144" s="42">
        <v>1</v>
      </c>
    </row>
    <row r="145" spans="1:2">
      <c r="A145" s="15" t="s">
        <v>28</v>
      </c>
      <c r="B145" s="43">
        <v>1</v>
      </c>
    </row>
    <row r="146" spans="1:2">
      <c r="A146" s="11" t="s">
        <v>31</v>
      </c>
      <c r="B146" s="41">
        <f>AVERAGE(B147:B148)</f>
        <v>1</v>
      </c>
    </row>
    <row r="147" spans="1:2">
      <c r="A147" s="8" t="s">
        <v>32</v>
      </c>
      <c r="B147" s="42">
        <v>1</v>
      </c>
    </row>
    <row r="148" spans="1:2">
      <c r="A148" s="15" t="s">
        <v>33</v>
      </c>
      <c r="B148" s="43">
        <v>1</v>
      </c>
    </row>
    <row r="149" spans="1:2">
      <c r="A149" s="11" t="s">
        <v>34</v>
      </c>
      <c r="B149" s="41">
        <f>AVERAGE(B150:B151)</f>
        <v>0.65</v>
      </c>
    </row>
    <row r="150" spans="1:2">
      <c r="A150" s="8" t="s">
        <v>35</v>
      </c>
      <c r="B150" s="42">
        <v>0.8</v>
      </c>
    </row>
    <row r="151" spans="1:2">
      <c r="A151" s="8" t="s">
        <v>36</v>
      </c>
      <c r="B151" s="42">
        <v>0.5</v>
      </c>
    </row>
    <row r="152" spans="1:2">
      <c r="A152" s="11" t="s">
        <v>37</v>
      </c>
      <c r="B152" s="41">
        <v>0.6</v>
      </c>
    </row>
  </sheetData>
  <conditionalFormatting sqref="B1">
    <cfRule type="cellIs" dxfId="217" priority="244" operator="equal">
      <formula>0</formula>
    </cfRule>
    <cfRule type="cellIs" dxfId="216" priority="245" operator="equal">
      <formula>1</formula>
    </cfRule>
    <cfRule type="cellIs" dxfId="215" priority="235" operator="equal">
      <formula>1</formula>
    </cfRule>
    <cfRule type="cellIs" dxfId="214" priority="241" operator="equal">
      <formula>0</formula>
    </cfRule>
    <cfRule type="cellIs" dxfId="213" priority="242" operator="lessThan">
      <formula>100%</formula>
    </cfRule>
    <cfRule type="cellIs" dxfId="212" priority="243" operator="greaterThan">
      <formula>0</formula>
    </cfRule>
  </conditionalFormatting>
  <conditionalFormatting sqref="B5">
    <cfRule type="cellIs" dxfId="211" priority="234" operator="equal">
      <formula>1</formula>
    </cfRule>
    <cfRule type="cellIs" dxfId="210" priority="233" operator="equal">
      <formula>0</formula>
    </cfRule>
    <cfRule type="cellIs" dxfId="209" priority="232" operator="greaterThan">
      <formula>0</formula>
    </cfRule>
    <cfRule type="cellIs" dxfId="208" priority="231" operator="lessThan">
      <formula>100%</formula>
    </cfRule>
    <cfRule type="cellIs" dxfId="207" priority="230" operator="equal">
      <formula>0</formula>
    </cfRule>
    <cfRule type="cellIs" dxfId="206" priority="229" operator="equal">
      <formula>1</formula>
    </cfRule>
  </conditionalFormatting>
  <conditionalFormatting sqref="B10">
    <cfRule type="cellIs" dxfId="205" priority="210" operator="equal">
      <formula>1</formula>
    </cfRule>
    <cfRule type="cellIs" dxfId="204" priority="209" operator="equal">
      <formula>0</formula>
    </cfRule>
    <cfRule type="cellIs" dxfId="203" priority="208" operator="greaterThan">
      <formula>0</formula>
    </cfRule>
    <cfRule type="cellIs" dxfId="202" priority="207" operator="lessThan">
      <formula>100%</formula>
    </cfRule>
    <cfRule type="cellIs" dxfId="201" priority="206" operator="equal">
      <formula>0</formula>
    </cfRule>
    <cfRule type="cellIs" dxfId="200" priority="205" operator="equal">
      <formula>1</formula>
    </cfRule>
  </conditionalFormatting>
  <conditionalFormatting sqref="B15">
    <cfRule type="cellIs" dxfId="199" priority="228" operator="equal">
      <formula>1</formula>
    </cfRule>
    <cfRule type="cellIs" dxfId="198" priority="226" operator="greaterThan">
      <formula>0</formula>
    </cfRule>
  </conditionalFormatting>
  <conditionalFormatting sqref="B15:B16">
    <cfRule type="cellIs" dxfId="197" priority="222" operator="equal">
      <formula>1</formula>
    </cfRule>
    <cfRule type="cellIs" dxfId="196" priority="221" operator="equal">
      <formula>0</formula>
    </cfRule>
    <cfRule type="cellIs" dxfId="195" priority="219" operator="lessThan">
      <formula>100%</formula>
    </cfRule>
    <cfRule type="cellIs" dxfId="194" priority="218" operator="equal">
      <formula>0</formula>
    </cfRule>
  </conditionalFormatting>
  <conditionalFormatting sqref="B16">
    <cfRule type="cellIs" dxfId="193" priority="220" operator="greaterThan">
      <formula>0</formula>
    </cfRule>
    <cfRule type="cellIs" dxfId="192" priority="217" operator="equal">
      <formula>1</formula>
    </cfRule>
  </conditionalFormatting>
  <conditionalFormatting sqref="B24">
    <cfRule type="cellIs" dxfId="191" priority="216" operator="equal">
      <formula>1</formula>
    </cfRule>
    <cfRule type="cellIs" dxfId="190" priority="215" operator="equal">
      <formula>0</formula>
    </cfRule>
    <cfRule type="cellIs" dxfId="189" priority="214" operator="greaterThan">
      <formula>0</formula>
    </cfRule>
    <cfRule type="cellIs" dxfId="188" priority="213" operator="lessThan">
      <formula>100%</formula>
    </cfRule>
    <cfRule type="cellIs" dxfId="187" priority="212" operator="equal">
      <formula>0</formula>
    </cfRule>
    <cfRule type="cellIs" dxfId="186" priority="211" operator="equal">
      <formula>1</formula>
    </cfRule>
  </conditionalFormatting>
  <conditionalFormatting sqref="B31">
    <cfRule type="cellIs" dxfId="185" priority="204" operator="equal">
      <formula>1</formula>
    </cfRule>
    <cfRule type="cellIs" dxfId="184" priority="203" operator="equal">
      <formula>0</formula>
    </cfRule>
    <cfRule type="cellIs" dxfId="183" priority="202" operator="greaterThan">
      <formula>0</formula>
    </cfRule>
    <cfRule type="cellIs" dxfId="182" priority="201" operator="lessThan">
      <formula>100%</formula>
    </cfRule>
    <cfRule type="cellIs" dxfId="181" priority="200" operator="equal">
      <formula>0</formula>
    </cfRule>
    <cfRule type="cellIs" dxfId="180" priority="199" operator="equal">
      <formula>1</formula>
    </cfRule>
  </conditionalFormatting>
  <conditionalFormatting sqref="B33">
    <cfRule type="cellIs" dxfId="179" priority="178" operator="greaterThan">
      <formula>0</formula>
    </cfRule>
    <cfRule type="cellIs" dxfId="178" priority="175" operator="equal">
      <formula>1</formula>
    </cfRule>
  </conditionalFormatting>
  <conditionalFormatting sqref="B33:B34">
    <cfRule type="cellIs" dxfId="177" priority="180" operator="equal">
      <formula>1</formula>
    </cfRule>
    <cfRule type="cellIs" dxfId="176" priority="179" operator="equal">
      <formula>0</formula>
    </cfRule>
    <cfRule type="cellIs" dxfId="175" priority="177" operator="lessThan">
      <formula>100%</formula>
    </cfRule>
    <cfRule type="cellIs" dxfId="174" priority="176" operator="equal">
      <formula>0</formula>
    </cfRule>
  </conditionalFormatting>
  <conditionalFormatting sqref="B34">
    <cfRule type="cellIs" dxfId="173" priority="198" operator="equal">
      <formula>1</formula>
    </cfRule>
    <cfRule type="cellIs" dxfId="172" priority="196" operator="greaterThan">
      <formula>0</formula>
    </cfRule>
  </conditionalFormatting>
  <conditionalFormatting sqref="B40">
    <cfRule type="cellIs" dxfId="171" priority="188" operator="equal">
      <formula>0</formula>
    </cfRule>
    <cfRule type="cellIs" dxfId="170" priority="187" operator="equal">
      <formula>1</formula>
    </cfRule>
    <cfRule type="cellIs" dxfId="169" priority="192" operator="equal">
      <formula>1</formula>
    </cfRule>
    <cfRule type="cellIs" dxfId="168" priority="191" operator="equal">
      <formula>0</formula>
    </cfRule>
    <cfRule type="cellIs" dxfId="167" priority="190" operator="greaterThan">
      <formula>0</formula>
    </cfRule>
    <cfRule type="cellIs" dxfId="166" priority="189" operator="lessThan">
      <formula>100%</formula>
    </cfRule>
  </conditionalFormatting>
  <conditionalFormatting sqref="B49">
    <cfRule type="cellIs" dxfId="165" priority="186" operator="equal">
      <formula>1</formula>
    </cfRule>
    <cfRule type="cellIs" dxfId="164" priority="185" operator="equal">
      <formula>0</formula>
    </cfRule>
    <cfRule type="cellIs" dxfId="163" priority="184" operator="greaterThan">
      <formula>0</formula>
    </cfRule>
    <cfRule type="cellIs" dxfId="162" priority="181" operator="equal">
      <formula>1</formula>
    </cfRule>
    <cfRule type="cellIs" dxfId="161" priority="182" operator="equal">
      <formula>0</formula>
    </cfRule>
    <cfRule type="cellIs" dxfId="160" priority="183" operator="lessThan">
      <formula>100%</formula>
    </cfRule>
  </conditionalFormatting>
  <conditionalFormatting sqref="B54:B55">
    <cfRule type="cellIs" dxfId="159" priority="174" operator="equal">
      <formula>1</formula>
    </cfRule>
    <cfRule type="cellIs" dxfId="158" priority="173" operator="equal">
      <formula>0</formula>
    </cfRule>
    <cfRule type="cellIs" dxfId="157" priority="172" operator="greaterThan">
      <formula>0</formula>
    </cfRule>
    <cfRule type="cellIs" dxfId="156" priority="171" operator="lessThan">
      <formula>100%</formula>
    </cfRule>
    <cfRule type="cellIs" dxfId="155" priority="170" operator="equal">
      <formula>0</formula>
    </cfRule>
    <cfRule type="cellIs" dxfId="154" priority="169" operator="equal">
      <formula>1</formula>
    </cfRule>
  </conditionalFormatting>
  <conditionalFormatting sqref="B60">
    <cfRule type="cellIs" dxfId="153" priority="168" operator="equal">
      <formula>1</formula>
    </cfRule>
    <cfRule type="cellIs" dxfId="152" priority="166" operator="greaterThan">
      <formula>0</formula>
    </cfRule>
    <cfRule type="cellIs" dxfId="151" priority="167" operator="equal">
      <formula>0</formula>
    </cfRule>
    <cfRule type="cellIs" dxfId="150" priority="165" operator="lessThan">
      <formula>100%</formula>
    </cfRule>
    <cfRule type="cellIs" dxfId="149" priority="164" operator="equal">
      <formula>0</formula>
    </cfRule>
    <cfRule type="cellIs" dxfId="148" priority="163" operator="equal">
      <formula>1</formula>
    </cfRule>
  </conditionalFormatting>
  <conditionalFormatting sqref="B72">
    <cfRule type="cellIs" dxfId="147" priority="162" operator="equal">
      <formula>1</formula>
    </cfRule>
    <cfRule type="cellIs" dxfId="146" priority="161" operator="equal">
      <formula>0</formula>
    </cfRule>
    <cfRule type="cellIs" dxfId="145" priority="160" operator="greaterThan">
      <formula>0</formula>
    </cfRule>
    <cfRule type="cellIs" dxfId="144" priority="159" operator="lessThan">
      <formula>100%</formula>
    </cfRule>
    <cfRule type="cellIs" dxfId="143" priority="158" operator="equal">
      <formula>0</formula>
    </cfRule>
    <cfRule type="cellIs" dxfId="142" priority="157" operator="equal">
      <formula>1</formula>
    </cfRule>
  </conditionalFormatting>
  <conditionalFormatting sqref="B76">
    <cfRule type="cellIs" dxfId="141" priority="156" operator="equal">
      <formula>1</formula>
    </cfRule>
    <cfRule type="cellIs" dxfId="140" priority="154" operator="greaterThan">
      <formula>0</formula>
    </cfRule>
    <cfRule type="cellIs" dxfId="139" priority="153" operator="lessThan">
      <formula>100%</formula>
    </cfRule>
    <cfRule type="cellIs" dxfId="138" priority="152" operator="equal">
      <formula>0</formula>
    </cfRule>
    <cfRule type="cellIs" dxfId="137" priority="151" operator="equal">
      <formula>1</formula>
    </cfRule>
    <cfRule type="cellIs" dxfId="136" priority="155" operator="equal">
      <formula>0</formula>
    </cfRule>
  </conditionalFormatting>
  <conditionalFormatting sqref="B81">
    <cfRule type="cellIs" dxfId="135" priority="150" operator="equal">
      <formula>1</formula>
    </cfRule>
    <cfRule type="cellIs" dxfId="134" priority="149" operator="equal">
      <formula>0</formula>
    </cfRule>
    <cfRule type="cellIs" dxfId="133" priority="148" operator="greaterThan">
      <formula>0</formula>
    </cfRule>
    <cfRule type="cellIs" dxfId="132" priority="146" operator="equal">
      <formula>0</formula>
    </cfRule>
    <cfRule type="cellIs" dxfId="131" priority="145" operator="equal">
      <formula>1</formula>
    </cfRule>
    <cfRule type="cellIs" dxfId="130" priority="147" operator="lessThan">
      <formula>100%</formula>
    </cfRule>
  </conditionalFormatting>
  <conditionalFormatting sqref="B84">
    <cfRule type="cellIs" dxfId="129" priority="100" operator="greaterThan">
      <formula>0</formula>
    </cfRule>
    <cfRule type="cellIs" dxfId="128" priority="97" operator="equal">
      <formula>1</formula>
    </cfRule>
  </conditionalFormatting>
  <conditionalFormatting sqref="B84:B85">
    <cfRule type="cellIs" dxfId="127" priority="102" operator="equal">
      <formula>1</formula>
    </cfRule>
  </conditionalFormatting>
  <conditionalFormatting sqref="B84:B86">
    <cfRule type="cellIs" dxfId="126" priority="98" operator="equal">
      <formula>0</formula>
    </cfRule>
    <cfRule type="cellIs" dxfId="125" priority="99" operator="lessThan">
      <formula>100%</formula>
    </cfRule>
    <cfRule type="cellIs" dxfId="124" priority="101" operator="equal">
      <formula>0</formula>
    </cfRule>
  </conditionalFormatting>
  <conditionalFormatting sqref="B85">
    <cfRule type="cellIs" dxfId="123" priority="136" operator="greaterThan">
      <formula>0</formula>
    </cfRule>
  </conditionalFormatting>
  <conditionalFormatting sqref="B85:B86">
    <cfRule type="cellIs" dxfId="122" priority="138" operator="equal">
      <formula>1</formula>
    </cfRule>
  </conditionalFormatting>
  <conditionalFormatting sqref="B86">
    <cfRule type="cellIs" dxfId="121" priority="142" operator="greaterThan">
      <formula>0</formula>
    </cfRule>
    <cfRule type="cellIs" dxfId="120" priority="144" operator="equal">
      <formula>1</formula>
    </cfRule>
  </conditionalFormatting>
  <conditionalFormatting sqref="B90">
    <cfRule type="cellIs" dxfId="119" priority="118" operator="greaterThan">
      <formula>0</formula>
    </cfRule>
    <cfRule type="cellIs" dxfId="118" priority="117" operator="lessThan">
      <formula>100%</formula>
    </cfRule>
    <cfRule type="cellIs" dxfId="117" priority="116" operator="equal">
      <formula>0</formula>
    </cfRule>
    <cfRule type="cellIs" dxfId="116" priority="115" operator="equal">
      <formula>1</formula>
    </cfRule>
    <cfRule type="cellIs" dxfId="115" priority="120" operator="equal">
      <formula>1</formula>
    </cfRule>
    <cfRule type="cellIs" dxfId="114" priority="119" operator="equal">
      <formula>0</formula>
    </cfRule>
  </conditionalFormatting>
  <conditionalFormatting sqref="B96">
    <cfRule type="cellIs" dxfId="113" priority="126" operator="equal">
      <formula>1</formula>
    </cfRule>
    <cfRule type="cellIs" dxfId="112" priority="124" operator="greaterThan">
      <formula>0</formula>
    </cfRule>
  </conditionalFormatting>
  <conditionalFormatting sqref="B96:B98">
    <cfRule type="cellIs" dxfId="111" priority="107" operator="equal">
      <formula>0</formula>
    </cfRule>
    <cfRule type="cellIs" dxfId="110" priority="108" operator="equal">
      <formula>1</formula>
    </cfRule>
    <cfRule type="cellIs" dxfId="109" priority="104" operator="equal">
      <formula>0</formula>
    </cfRule>
    <cfRule type="cellIs" dxfId="108" priority="105" operator="lessThan">
      <formula>100%</formula>
    </cfRule>
  </conditionalFormatting>
  <conditionalFormatting sqref="B97">
    <cfRule type="cellIs" dxfId="107" priority="106" operator="greaterThan">
      <formula>0</formula>
    </cfRule>
    <cfRule type="cellIs" dxfId="106" priority="103" operator="equal">
      <formula>1</formula>
    </cfRule>
  </conditionalFormatting>
  <conditionalFormatting sqref="B98">
    <cfRule type="cellIs" dxfId="105" priority="112" operator="greaterThan">
      <formula>0</formula>
    </cfRule>
    <cfRule type="cellIs" dxfId="104" priority="114" operator="equal">
      <formula>1</formula>
    </cfRule>
  </conditionalFormatting>
  <conditionalFormatting sqref="B101">
    <cfRule type="cellIs" dxfId="103" priority="94" operator="greaterThan">
      <formula>0</formula>
    </cfRule>
    <cfRule type="cellIs" dxfId="102" priority="93" operator="lessThan">
      <formula>100%</formula>
    </cfRule>
    <cfRule type="cellIs" dxfId="101" priority="92" operator="equal">
      <formula>0</formula>
    </cfRule>
    <cfRule type="cellIs" dxfId="100" priority="91" operator="equal">
      <formula>1</formula>
    </cfRule>
    <cfRule type="cellIs" dxfId="99" priority="96" operator="equal">
      <formula>1</formula>
    </cfRule>
    <cfRule type="cellIs" dxfId="98" priority="95" operator="equal">
      <formula>0</formula>
    </cfRule>
  </conditionalFormatting>
  <conditionalFormatting sqref="B104">
    <cfRule type="cellIs" dxfId="97" priority="90" operator="equal">
      <formula>1</formula>
    </cfRule>
    <cfRule type="cellIs" dxfId="96" priority="89" operator="equal">
      <formula>0</formula>
    </cfRule>
    <cfRule type="cellIs" dxfId="95" priority="88" operator="greaterThan">
      <formula>0</formula>
    </cfRule>
    <cfRule type="cellIs" dxfId="94" priority="87" operator="lessThan">
      <formula>100%</formula>
    </cfRule>
    <cfRule type="cellIs" dxfId="93" priority="86" operator="equal">
      <formula>0</formula>
    </cfRule>
    <cfRule type="cellIs" dxfId="92" priority="85" operator="equal">
      <formula>1</formula>
    </cfRule>
  </conditionalFormatting>
  <conditionalFormatting sqref="B107">
    <cfRule type="cellIs" dxfId="91" priority="84" operator="equal">
      <formula>1</formula>
    </cfRule>
    <cfRule type="cellIs" dxfId="90" priority="82" operator="greaterThan">
      <formula>0</formula>
    </cfRule>
    <cfRule type="cellIs" dxfId="89" priority="81" operator="lessThan">
      <formula>100%</formula>
    </cfRule>
    <cfRule type="cellIs" dxfId="88" priority="80" operator="equal">
      <formula>0</formula>
    </cfRule>
    <cfRule type="cellIs" dxfId="87" priority="79" operator="equal">
      <formula>1</formula>
    </cfRule>
    <cfRule type="cellIs" dxfId="86" priority="83" operator="equal">
      <formula>0</formula>
    </cfRule>
  </conditionalFormatting>
  <conditionalFormatting sqref="B112">
    <cfRule type="cellIs" dxfId="85" priority="78" operator="equal">
      <formula>1</formula>
    </cfRule>
    <cfRule type="cellIs" dxfId="84" priority="76" operator="greaterThan">
      <formula>0</formula>
    </cfRule>
  </conditionalFormatting>
  <conditionalFormatting sqref="B112:B113">
    <cfRule type="cellIs" dxfId="83" priority="72" operator="equal">
      <formula>1</formula>
    </cfRule>
    <cfRule type="cellIs" dxfId="82" priority="68" operator="equal">
      <formula>0</formula>
    </cfRule>
    <cfRule type="cellIs" dxfId="81" priority="69" operator="lessThan">
      <formula>100%</formula>
    </cfRule>
    <cfRule type="cellIs" dxfId="80" priority="71" operator="equal">
      <formula>0</formula>
    </cfRule>
  </conditionalFormatting>
  <conditionalFormatting sqref="B113">
    <cfRule type="cellIs" dxfId="79" priority="67" operator="equal">
      <formula>1</formula>
    </cfRule>
    <cfRule type="cellIs" dxfId="78" priority="70" operator="greaterThan">
      <formula>0</formula>
    </cfRule>
  </conditionalFormatting>
  <conditionalFormatting sqref="B118:B119">
    <cfRule type="cellIs" dxfId="77" priority="60" operator="equal">
      <formula>1</formula>
    </cfRule>
    <cfRule type="cellIs" dxfId="76" priority="59" operator="equal">
      <formula>0</formula>
    </cfRule>
    <cfRule type="cellIs" dxfId="75" priority="58" operator="greaterThan">
      <formula>0</formula>
    </cfRule>
    <cfRule type="cellIs" dxfId="74" priority="57" operator="lessThan">
      <formula>100%</formula>
    </cfRule>
    <cfRule type="cellIs" dxfId="73" priority="56" operator="equal">
      <formula>0</formula>
    </cfRule>
    <cfRule type="cellIs" dxfId="72" priority="55" operator="equal">
      <formula>1</formula>
    </cfRule>
  </conditionalFormatting>
  <conditionalFormatting sqref="B124">
    <cfRule type="cellIs" dxfId="71" priority="51" operator="lessThan">
      <formula>100%</formula>
    </cfRule>
    <cfRule type="cellIs" dxfId="70" priority="54" operator="equal">
      <formula>1</formula>
    </cfRule>
    <cfRule type="cellIs" dxfId="69" priority="53" operator="equal">
      <formula>0</formula>
    </cfRule>
    <cfRule type="cellIs" dxfId="68" priority="52" operator="greaterThan">
      <formula>0</formula>
    </cfRule>
    <cfRule type="cellIs" dxfId="67" priority="50" operator="equal">
      <formula>0</formula>
    </cfRule>
    <cfRule type="cellIs" dxfId="66" priority="49" operator="equal">
      <formula>1</formula>
    </cfRule>
  </conditionalFormatting>
  <conditionalFormatting sqref="B127">
    <cfRule type="cellIs" dxfId="65" priority="48" operator="equal">
      <formula>1</formula>
    </cfRule>
    <cfRule type="cellIs" dxfId="64" priority="47" operator="equal">
      <formula>0</formula>
    </cfRule>
    <cfRule type="cellIs" dxfId="63" priority="46" operator="greaterThan">
      <formula>0</formula>
    </cfRule>
    <cfRule type="cellIs" dxfId="62" priority="45" operator="lessThan">
      <formula>100%</formula>
    </cfRule>
    <cfRule type="cellIs" dxfId="61" priority="44" operator="equal">
      <formula>0</formula>
    </cfRule>
    <cfRule type="cellIs" dxfId="60" priority="43" operator="equal">
      <formula>1</formula>
    </cfRule>
  </conditionalFormatting>
  <conditionalFormatting sqref="B129">
    <cfRule type="cellIs" dxfId="59" priority="42" operator="equal">
      <formula>1</formula>
    </cfRule>
    <cfRule type="cellIs" dxfId="58" priority="41" operator="equal">
      <formula>0</formula>
    </cfRule>
    <cfRule type="cellIs" dxfId="57" priority="40" operator="greaterThan">
      <formula>0</formula>
    </cfRule>
    <cfRule type="cellIs" dxfId="56" priority="39" operator="lessThan">
      <formula>100%</formula>
    </cfRule>
    <cfRule type="cellIs" dxfId="55" priority="38" operator="equal">
      <formula>0</formula>
    </cfRule>
    <cfRule type="cellIs" dxfId="54" priority="37" operator="equal">
      <formula>1</formula>
    </cfRule>
  </conditionalFormatting>
  <conditionalFormatting sqref="B131">
    <cfRule type="cellIs" dxfId="53" priority="62" operator="equal">
      <formula>0</formula>
    </cfRule>
    <cfRule type="cellIs" dxfId="52" priority="61" operator="equal">
      <formula>1</formula>
    </cfRule>
    <cfRule type="cellIs" dxfId="51" priority="63" operator="lessThan">
      <formula>100%</formula>
    </cfRule>
    <cfRule type="cellIs" dxfId="50" priority="64" operator="greaterThan">
      <formula>0</formula>
    </cfRule>
    <cfRule type="cellIs" dxfId="49" priority="65" operator="equal">
      <formula>0</formula>
    </cfRule>
    <cfRule type="cellIs" dxfId="48" priority="66" operator="equal">
      <formula>1</formula>
    </cfRule>
  </conditionalFormatting>
  <conditionalFormatting sqref="B136">
    <cfRule type="cellIs" dxfId="47" priority="36" operator="equal">
      <formula>1</formula>
    </cfRule>
    <cfRule type="cellIs" dxfId="46" priority="35" operator="equal">
      <formula>0</formula>
    </cfRule>
    <cfRule type="cellIs" dxfId="45" priority="34" operator="greaterThan">
      <formula>0</formula>
    </cfRule>
    <cfRule type="cellIs" dxfId="44" priority="33" operator="lessThan">
      <formula>100%</formula>
    </cfRule>
    <cfRule type="cellIs" dxfId="43" priority="32" operator="equal">
      <formula>0</formula>
    </cfRule>
    <cfRule type="cellIs" dxfId="42" priority="31" operator="equal">
      <formula>1</formula>
    </cfRule>
  </conditionalFormatting>
  <conditionalFormatting sqref="B139">
    <cfRule type="cellIs" dxfId="41" priority="30" operator="equal">
      <formula>1</formula>
    </cfRule>
    <cfRule type="cellIs" dxfId="40" priority="29" operator="equal">
      <formula>0</formula>
    </cfRule>
    <cfRule type="cellIs" dxfId="39" priority="28" operator="greaterThan">
      <formula>0</formula>
    </cfRule>
    <cfRule type="cellIs" dxfId="38" priority="27" operator="lessThan">
      <formula>100%</formula>
    </cfRule>
    <cfRule type="cellIs" dxfId="37" priority="25" operator="equal">
      <formula>1</formula>
    </cfRule>
    <cfRule type="cellIs" dxfId="36" priority="26" operator="equal">
      <formula>0</formula>
    </cfRule>
  </conditionalFormatting>
  <conditionalFormatting sqref="B142">
    <cfRule type="cellIs" dxfId="35" priority="24" operator="equal">
      <formula>1</formula>
    </cfRule>
    <cfRule type="cellIs" dxfId="34" priority="23" operator="equal">
      <formula>0</formula>
    </cfRule>
    <cfRule type="cellIs" dxfId="33" priority="22" operator="greaterThan">
      <formula>0</formula>
    </cfRule>
    <cfRule type="cellIs" dxfId="32" priority="21" operator="lessThan">
      <formula>100%</formula>
    </cfRule>
    <cfRule type="cellIs" dxfId="31" priority="20" operator="equal">
      <formula>0</formula>
    </cfRule>
    <cfRule type="cellIs" dxfId="30" priority="19" operator="equal">
      <formula>1</formula>
    </cfRule>
  </conditionalFormatting>
  <conditionalFormatting sqref="B146">
    <cfRule type="cellIs" dxfId="29" priority="18" operator="equal">
      <formula>1</formula>
    </cfRule>
    <cfRule type="cellIs" dxfId="28" priority="17" operator="equal">
      <formula>0</formula>
    </cfRule>
    <cfRule type="cellIs" dxfId="27" priority="16" operator="greaterThan">
      <formula>0</formula>
    </cfRule>
    <cfRule type="cellIs" dxfId="26" priority="15" operator="lessThan">
      <formula>100%</formula>
    </cfRule>
    <cfRule type="cellIs" dxfId="25" priority="14" operator="equal">
      <formula>0</formula>
    </cfRule>
    <cfRule type="cellIs" dxfId="24" priority="13" operator="equal">
      <formula>1</formula>
    </cfRule>
  </conditionalFormatting>
  <conditionalFormatting sqref="B149">
    <cfRule type="cellIs" dxfId="23" priority="12" operator="equal">
      <formula>1</formula>
    </cfRule>
    <cfRule type="cellIs" dxfId="22" priority="11" operator="equal">
      <formula>0</formula>
    </cfRule>
    <cfRule type="cellIs" dxfId="21" priority="7" operator="equal">
      <formula>1</formula>
    </cfRule>
    <cfRule type="cellIs" dxfId="20" priority="10" operator="greaterThan">
      <formula>0</formula>
    </cfRule>
    <cfRule type="cellIs" dxfId="19" priority="9" operator="lessThan">
      <formula>100%</formula>
    </cfRule>
    <cfRule type="cellIs" dxfId="18" priority="8" operator="equal">
      <formula>0</formula>
    </cfRule>
  </conditionalFormatting>
  <conditionalFormatting sqref="B152">
    <cfRule type="cellIs" dxfId="17" priority="6" operator="equal">
      <formula>1</formula>
    </cfRule>
    <cfRule type="cellIs" dxfId="16" priority="4" operator="greaterThan">
      <formula>0</formula>
    </cfRule>
    <cfRule type="cellIs" dxfId="15" priority="3" operator="lessThan">
      <formula>100%</formula>
    </cfRule>
    <cfRule type="cellIs" dxfId="14" priority="2" operator="equal">
      <formula>0</formula>
    </cfRule>
    <cfRule type="cellIs" dxfId="13" priority="1" operator="equal">
      <formula>1</formula>
    </cfRule>
    <cfRule type="cellIs" dxfId="12" priority="5" operator="equal">
      <formula>0</formula>
    </cfRule>
  </conditionalFormatting>
  <pageMargins left="0.7" right="0.7" top="0.75" bottom="0.75" header="0.3" footer="0.3"/>
  <ignoredErrors>
    <ignoredError sqref="B90 B10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8C16-17F9-497F-B5F1-65021F645A5B}">
  <dimension ref="A1:I14"/>
  <sheetViews>
    <sheetView zoomScale="130" zoomScaleNormal="130" workbookViewId="0">
      <selection activeCell="A15" sqref="A15"/>
    </sheetView>
  </sheetViews>
  <sheetFormatPr defaultColWidth="20.140625" defaultRowHeight="15"/>
  <cols>
    <col min="1" max="1" width="55.42578125" customWidth="1"/>
    <col min="2" max="2" width="7.42578125" style="31" bestFit="1" customWidth="1"/>
    <col min="3" max="3" width="5.85546875" bestFit="1" customWidth="1"/>
    <col min="4" max="4" width="6" bestFit="1" customWidth="1"/>
    <col min="5" max="5" width="9.7109375" bestFit="1" customWidth="1"/>
    <col min="6" max="6" width="14.5703125" bestFit="1" customWidth="1"/>
    <col min="7" max="7" width="13.85546875" bestFit="1" customWidth="1"/>
    <col min="8" max="8" width="19.7109375" bestFit="1" customWidth="1"/>
    <col min="9" max="9" width="10.7109375" bestFit="1" customWidth="1"/>
  </cols>
  <sheetData>
    <row r="1" spans="1:9">
      <c r="A1" s="40" t="s">
        <v>153</v>
      </c>
      <c r="B1" s="41">
        <f>AVERAGE(B2,B8)</f>
        <v>1</v>
      </c>
      <c r="C1" s="44" t="s">
        <v>42</v>
      </c>
      <c r="D1" s="44" t="s">
        <v>43</v>
      </c>
      <c r="E1" s="44" t="s">
        <v>44</v>
      </c>
      <c r="F1" s="44" t="s">
        <v>45</v>
      </c>
      <c r="G1" s="44" t="s">
        <v>154</v>
      </c>
      <c r="H1" s="44" t="s">
        <v>155</v>
      </c>
      <c r="I1" s="44" t="s">
        <v>156</v>
      </c>
    </row>
    <row r="2" spans="1:9">
      <c r="A2" s="58" t="s">
        <v>157</v>
      </c>
      <c r="B2" s="41">
        <f>AVERAGE(B3:B7)</f>
        <v>1</v>
      </c>
      <c r="C2" s="51"/>
      <c r="D2" s="51"/>
      <c r="E2" s="51"/>
      <c r="F2" s="51"/>
      <c r="G2" s="51"/>
      <c r="H2" s="51"/>
      <c r="I2" s="51"/>
    </row>
    <row r="3" spans="1:9">
      <c r="A3" s="37" t="s">
        <v>158</v>
      </c>
      <c r="B3" s="38">
        <f>AVERAGE(C3:H3)</f>
        <v>1</v>
      </c>
      <c r="C3" s="39">
        <v>1</v>
      </c>
      <c r="D3" s="39">
        <v>1</v>
      </c>
      <c r="E3" s="39">
        <v>1</v>
      </c>
      <c r="F3" s="39">
        <v>1</v>
      </c>
      <c r="G3" s="39">
        <v>1</v>
      </c>
      <c r="H3" s="39">
        <v>1</v>
      </c>
      <c r="I3" s="39" t="s">
        <v>84</v>
      </c>
    </row>
    <row r="4" spans="1:9">
      <c r="A4" s="37" t="s">
        <v>159</v>
      </c>
      <c r="B4" s="38">
        <f>AVERAGE(C4:H4)</f>
        <v>1</v>
      </c>
      <c r="C4" s="39">
        <v>1</v>
      </c>
      <c r="D4" s="39">
        <v>1</v>
      </c>
      <c r="E4" s="39">
        <v>1</v>
      </c>
      <c r="F4" s="39">
        <v>1</v>
      </c>
      <c r="G4" s="39">
        <v>1</v>
      </c>
      <c r="H4" s="39">
        <v>1</v>
      </c>
      <c r="I4" s="39" t="s">
        <v>84</v>
      </c>
    </row>
    <row r="5" spans="1:9">
      <c r="A5" s="37" t="s">
        <v>160</v>
      </c>
      <c r="B5" s="38">
        <f>AVERAGE(C5:H5)</f>
        <v>1</v>
      </c>
      <c r="C5" s="39">
        <v>1</v>
      </c>
      <c r="D5" s="39">
        <v>1</v>
      </c>
      <c r="E5" s="39">
        <v>1</v>
      </c>
      <c r="F5" s="39">
        <v>1</v>
      </c>
      <c r="G5" s="39">
        <v>1</v>
      </c>
      <c r="H5" s="39" t="s">
        <v>84</v>
      </c>
      <c r="I5" s="39" t="s">
        <v>84</v>
      </c>
    </row>
    <row r="6" spans="1:9">
      <c r="A6" s="37" t="s">
        <v>10</v>
      </c>
      <c r="B6" s="38">
        <f>AVERAGE(C6:H6)</f>
        <v>1</v>
      </c>
      <c r="C6" s="39">
        <v>1</v>
      </c>
      <c r="D6" s="39">
        <v>1</v>
      </c>
      <c r="E6" s="39">
        <v>1</v>
      </c>
      <c r="F6" s="39">
        <v>1</v>
      </c>
      <c r="G6" s="39" t="s">
        <v>84</v>
      </c>
      <c r="H6" s="39" t="s">
        <v>84</v>
      </c>
      <c r="I6" s="39" t="s">
        <v>84</v>
      </c>
    </row>
    <row r="7" spans="1:9">
      <c r="A7" s="37" t="s">
        <v>6</v>
      </c>
      <c r="B7" s="38">
        <f>AVERAGE(C7:H7)</f>
        <v>1</v>
      </c>
      <c r="C7" s="39">
        <v>1</v>
      </c>
      <c r="D7" s="39">
        <v>1</v>
      </c>
      <c r="E7" s="39">
        <v>1</v>
      </c>
      <c r="F7" s="39">
        <v>1</v>
      </c>
      <c r="G7" s="39" t="s">
        <v>84</v>
      </c>
      <c r="H7" s="39" t="s">
        <v>84</v>
      </c>
      <c r="I7" s="39" t="s">
        <v>84</v>
      </c>
    </row>
    <row r="8" spans="1:9">
      <c r="A8" s="51" t="s">
        <v>16</v>
      </c>
      <c r="B8" s="41">
        <f>AVERAGE(B9:B14)</f>
        <v>1</v>
      </c>
    </row>
    <row r="9" spans="1:9" ht="30">
      <c r="A9" s="48" t="s">
        <v>161</v>
      </c>
      <c r="B9" s="38">
        <v>1</v>
      </c>
    </row>
    <row r="10" spans="1:9" ht="45">
      <c r="A10" s="48" t="s">
        <v>162</v>
      </c>
      <c r="B10" s="38">
        <v>1</v>
      </c>
    </row>
    <row r="11" spans="1:9" ht="45">
      <c r="A11" s="48" t="s">
        <v>163</v>
      </c>
      <c r="B11" s="38">
        <v>1</v>
      </c>
    </row>
    <row r="12" spans="1:9">
      <c r="A12" s="48" t="s">
        <v>164</v>
      </c>
      <c r="B12" s="38">
        <v>1</v>
      </c>
    </row>
    <row r="13" spans="1:9" ht="45">
      <c r="A13" s="48" t="s">
        <v>165</v>
      </c>
      <c r="B13" s="38">
        <v>1</v>
      </c>
    </row>
    <row r="14" spans="1:9" ht="45">
      <c r="A14" s="48" t="s">
        <v>166</v>
      </c>
      <c r="B14" s="38">
        <v>1</v>
      </c>
    </row>
  </sheetData>
  <conditionalFormatting sqref="B1:B2">
    <cfRule type="cellIs" dxfId="11" priority="13" operator="equal">
      <formula>1</formula>
    </cfRule>
    <cfRule type="cellIs" dxfId="10" priority="14" operator="equal">
      <formula>0</formula>
    </cfRule>
    <cfRule type="cellIs" dxfId="9" priority="15" operator="lessThan">
      <formula>100%</formula>
    </cfRule>
    <cfRule type="cellIs" dxfId="8" priority="16" operator="greaterThan">
      <formula>0</formula>
    </cfRule>
    <cfRule type="cellIs" dxfId="7" priority="17" operator="equal">
      <formula>0</formula>
    </cfRule>
    <cfRule type="cellIs" dxfId="6" priority="18" operator="equal">
      <formula>1</formula>
    </cfRule>
  </conditionalFormatting>
  <conditionalFormatting sqref="B8">
    <cfRule type="cellIs" dxfId="5" priority="1" operator="equal">
      <formula>1</formula>
    </cfRule>
    <cfRule type="cellIs" dxfId="4" priority="2" operator="equal">
      <formula>0</formula>
    </cfRule>
    <cfRule type="cellIs" dxfId="3" priority="3" operator="lessThan">
      <formula>100%</formula>
    </cfRule>
    <cfRule type="cellIs" dxfId="2" priority="4" operator="greaterThan">
      <formula>0</formula>
    </cfRule>
    <cfRule type="cellIs" dxfId="1" priority="5" operator="equal">
      <formula>0</formula>
    </cfRule>
    <cfRule type="cellIs" dxfId="0" priority="6" operator="equal">
      <formu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zoomScale="115" zoomScaleNormal="115" workbookViewId="0">
      <selection activeCell="E19" sqref="E19"/>
    </sheetView>
  </sheetViews>
  <sheetFormatPr defaultColWidth="9.140625" defaultRowHeight="15"/>
  <cols>
    <col min="1" max="1" width="37.5703125" style="2" customWidth="1"/>
    <col min="2" max="2" width="14.7109375" style="3" customWidth="1"/>
    <col min="4" max="4" width="33.28515625" style="5" customWidth="1"/>
    <col min="5" max="5" width="14.7109375" style="22" customWidth="1"/>
    <col min="6" max="6" width="9.140625" style="5"/>
    <col min="7" max="7" width="36" style="5" bestFit="1" customWidth="1"/>
    <col min="8" max="8" width="14.7109375" style="21" customWidth="1"/>
  </cols>
  <sheetData>
    <row r="1" spans="1:8" s="1" customFormat="1" ht="30">
      <c r="A1" s="23" t="s">
        <v>167</v>
      </c>
      <c r="B1" s="24">
        <f>AVERAGE(B2:B21)</f>
        <v>1</v>
      </c>
      <c r="D1" s="25" t="s">
        <v>168</v>
      </c>
      <c r="E1" s="26">
        <f>AVERAGE(E2,E6,E12,E16,E20,E24,E31,E33,E36,E39,E43,E46,E49)</f>
        <v>0.83974358974358987</v>
      </c>
      <c r="F1" s="4"/>
      <c r="G1" s="27" t="s">
        <v>169</v>
      </c>
      <c r="H1" s="24">
        <f>AVERAGE(H2,H5,H9,H18,H22)</f>
        <v>1</v>
      </c>
    </row>
    <row r="2" spans="1:8">
      <c r="A2" s="6" t="s">
        <v>158</v>
      </c>
      <c r="B2" s="7">
        <v>1</v>
      </c>
      <c r="D2" s="11" t="s">
        <v>0</v>
      </c>
      <c r="E2" s="16">
        <f>AVERAGE(E3:E5)</f>
        <v>1</v>
      </c>
      <c r="G2" s="11" t="s">
        <v>158</v>
      </c>
      <c r="H2" s="16">
        <f>AVERAGE(H3:H4)</f>
        <v>1</v>
      </c>
    </row>
    <row r="3" spans="1:8" ht="15" customHeight="1">
      <c r="A3" s="8" t="s">
        <v>170</v>
      </c>
      <c r="B3" s="7">
        <v>1</v>
      </c>
      <c r="D3" s="8" t="s">
        <v>76</v>
      </c>
      <c r="E3" s="17">
        <v>1</v>
      </c>
      <c r="G3" s="8" t="s">
        <v>171</v>
      </c>
      <c r="H3" s="17">
        <v>1</v>
      </c>
    </row>
    <row r="4" spans="1:8">
      <c r="A4" s="8" t="s">
        <v>160</v>
      </c>
      <c r="B4" s="7">
        <v>1</v>
      </c>
      <c r="D4" s="8" t="s">
        <v>77</v>
      </c>
      <c r="E4" s="17">
        <v>1</v>
      </c>
      <c r="G4" s="8" t="s">
        <v>155</v>
      </c>
      <c r="H4" s="17">
        <v>1</v>
      </c>
    </row>
    <row r="5" spans="1:8">
      <c r="A5" s="8" t="s">
        <v>172</v>
      </c>
      <c r="B5" s="7">
        <v>1</v>
      </c>
      <c r="D5" s="8" t="s">
        <v>78</v>
      </c>
      <c r="E5" s="17">
        <v>1</v>
      </c>
      <c r="G5" s="11" t="s">
        <v>159</v>
      </c>
      <c r="H5" s="16">
        <f>AVERAGE(H6:H8)</f>
        <v>1</v>
      </c>
    </row>
    <row r="6" spans="1:8">
      <c r="A6" s="9" t="s">
        <v>173</v>
      </c>
      <c r="B6" s="7">
        <v>1</v>
      </c>
      <c r="D6" s="14" t="s">
        <v>1</v>
      </c>
      <c r="E6" s="18">
        <f>AVERAGE(E7:E11)</f>
        <v>1</v>
      </c>
      <c r="G6" s="8" t="s">
        <v>171</v>
      </c>
      <c r="H6" s="17">
        <v>1</v>
      </c>
    </row>
    <row r="7" spans="1:8">
      <c r="A7" s="9" t="s">
        <v>174</v>
      </c>
      <c r="B7" s="7">
        <v>1</v>
      </c>
      <c r="D7" s="9" t="s">
        <v>175</v>
      </c>
      <c r="E7" s="17">
        <v>1</v>
      </c>
      <c r="G7" s="8" t="s">
        <v>176</v>
      </c>
      <c r="H7" s="17">
        <v>1</v>
      </c>
    </row>
    <row r="8" spans="1:8" ht="30">
      <c r="A8" s="8" t="s">
        <v>10</v>
      </c>
      <c r="B8" s="7">
        <v>1</v>
      </c>
      <c r="D8" s="10" t="s">
        <v>2</v>
      </c>
      <c r="E8" s="17">
        <v>1</v>
      </c>
      <c r="G8" s="8" t="s">
        <v>155</v>
      </c>
      <c r="H8" s="17">
        <v>1</v>
      </c>
    </row>
    <row r="9" spans="1:8">
      <c r="A9" s="9" t="s">
        <v>177</v>
      </c>
      <c r="B9" s="7">
        <v>1</v>
      </c>
      <c r="D9" s="9" t="s">
        <v>3</v>
      </c>
      <c r="E9" s="17">
        <v>1</v>
      </c>
      <c r="G9" s="11" t="s">
        <v>160</v>
      </c>
      <c r="H9" s="16">
        <f>AVERAGE(H10:H17)</f>
        <v>1</v>
      </c>
    </row>
    <row r="10" spans="1:8" ht="23.25" customHeight="1">
      <c r="A10" s="6" t="s">
        <v>178</v>
      </c>
      <c r="B10" s="7">
        <v>1</v>
      </c>
      <c r="D10" s="9" t="s">
        <v>4</v>
      </c>
      <c r="E10" s="17">
        <v>1</v>
      </c>
      <c r="G10" s="8" t="s">
        <v>171</v>
      </c>
      <c r="H10" s="17">
        <v>1</v>
      </c>
    </row>
    <row r="11" spans="1:8">
      <c r="A11" s="8" t="s">
        <v>12</v>
      </c>
      <c r="B11" s="7">
        <v>1</v>
      </c>
      <c r="D11" s="9" t="s">
        <v>5</v>
      </c>
      <c r="E11" s="17">
        <v>1</v>
      </c>
      <c r="G11" s="8" t="s">
        <v>179</v>
      </c>
      <c r="H11" s="17">
        <v>1</v>
      </c>
    </row>
    <row r="12" spans="1:8">
      <c r="A12" s="9" t="s">
        <v>173</v>
      </c>
      <c r="B12" s="7">
        <v>1</v>
      </c>
      <c r="D12" s="11" t="s">
        <v>6</v>
      </c>
      <c r="E12" s="16">
        <f>AVERAGE(E13:E15)</f>
        <v>0.83333333333333337</v>
      </c>
      <c r="G12" s="8" t="s">
        <v>180</v>
      </c>
      <c r="H12" s="17">
        <v>1</v>
      </c>
    </row>
    <row r="13" spans="1:8">
      <c r="A13" s="9" t="s">
        <v>123</v>
      </c>
      <c r="B13" s="7">
        <v>1</v>
      </c>
      <c r="D13" s="9" t="s">
        <v>181</v>
      </c>
      <c r="E13" s="17">
        <v>1</v>
      </c>
      <c r="G13" s="8" t="s">
        <v>182</v>
      </c>
      <c r="H13" s="17">
        <v>1</v>
      </c>
    </row>
    <row r="14" spans="1:8">
      <c r="A14" s="9" t="s">
        <v>183</v>
      </c>
      <c r="B14" s="7">
        <v>1</v>
      </c>
      <c r="D14" s="9" t="s">
        <v>184</v>
      </c>
      <c r="E14" s="17">
        <v>1</v>
      </c>
      <c r="G14" s="8" t="s">
        <v>185</v>
      </c>
      <c r="H14" s="17">
        <v>1</v>
      </c>
    </row>
    <row r="15" spans="1:8">
      <c r="A15" s="8" t="s">
        <v>18</v>
      </c>
      <c r="B15" s="7">
        <v>1</v>
      </c>
      <c r="D15" s="9" t="s">
        <v>186</v>
      </c>
      <c r="E15" s="17">
        <v>0.5</v>
      </c>
      <c r="G15" s="8" t="s">
        <v>187</v>
      </c>
      <c r="H15" s="17">
        <v>1</v>
      </c>
    </row>
    <row r="16" spans="1:8">
      <c r="A16" s="9" t="s">
        <v>188</v>
      </c>
      <c r="B16" s="7">
        <v>1</v>
      </c>
      <c r="D16" s="11" t="s">
        <v>10</v>
      </c>
      <c r="E16" s="16">
        <f>AVERAGE(E17:E19)</f>
        <v>1</v>
      </c>
      <c r="G16" s="8" t="s">
        <v>189</v>
      </c>
      <c r="H16" s="17">
        <v>1</v>
      </c>
    </row>
    <row r="17" spans="1:8">
      <c r="A17" s="9" t="s">
        <v>190</v>
      </c>
      <c r="B17" s="7">
        <v>1</v>
      </c>
      <c r="D17" s="9" t="s">
        <v>175</v>
      </c>
      <c r="E17" s="17">
        <v>1</v>
      </c>
      <c r="G17" s="8" t="s">
        <v>191</v>
      </c>
      <c r="H17" s="17">
        <v>1</v>
      </c>
    </row>
    <row r="18" spans="1:8">
      <c r="A18" s="8" t="s">
        <v>28</v>
      </c>
      <c r="B18" s="7">
        <v>1</v>
      </c>
      <c r="D18" s="8" t="s">
        <v>184</v>
      </c>
      <c r="E18" s="17">
        <v>1</v>
      </c>
      <c r="G18" s="11" t="s">
        <v>10</v>
      </c>
      <c r="H18" s="16">
        <f>AVERAGE(H19:H21)</f>
        <v>1</v>
      </c>
    </row>
    <row r="19" spans="1:8">
      <c r="A19" s="8" t="s">
        <v>192</v>
      </c>
      <c r="B19" s="7">
        <v>1</v>
      </c>
      <c r="D19" s="8" t="s">
        <v>193</v>
      </c>
      <c r="E19" s="19">
        <v>1</v>
      </c>
      <c r="G19" s="8" t="s">
        <v>171</v>
      </c>
      <c r="H19" s="17">
        <v>1</v>
      </c>
    </row>
    <row r="20" spans="1:8" ht="15" customHeight="1">
      <c r="A20" s="8" t="s">
        <v>194</v>
      </c>
      <c r="B20" s="7">
        <v>1</v>
      </c>
      <c r="D20" s="13" t="s">
        <v>152</v>
      </c>
      <c r="E20" s="16">
        <f>AVERAGE(E21:E23)</f>
        <v>1</v>
      </c>
      <c r="G20" s="8" t="s">
        <v>195</v>
      </c>
      <c r="H20" s="17">
        <v>1</v>
      </c>
    </row>
    <row r="21" spans="1:8">
      <c r="A21" s="8" t="s">
        <v>196</v>
      </c>
      <c r="B21" s="7">
        <v>1</v>
      </c>
      <c r="D21" s="8" t="s">
        <v>197</v>
      </c>
      <c r="E21" s="20">
        <v>1</v>
      </c>
      <c r="G21" s="8" t="s">
        <v>198</v>
      </c>
      <c r="H21" s="17">
        <v>1</v>
      </c>
    </row>
    <row r="22" spans="1:8">
      <c r="D22" s="8" t="s">
        <v>122</v>
      </c>
      <c r="E22" s="17">
        <v>1</v>
      </c>
      <c r="G22" s="11" t="s">
        <v>6</v>
      </c>
      <c r="H22" s="16">
        <f>AVERAGE(H23)</f>
        <v>1</v>
      </c>
    </row>
    <row r="23" spans="1:8">
      <c r="D23" s="8" t="s">
        <v>199</v>
      </c>
      <c r="E23" s="17">
        <v>1</v>
      </c>
      <c r="G23" s="8" t="s">
        <v>171</v>
      </c>
      <c r="H23" s="17">
        <v>1</v>
      </c>
    </row>
    <row r="24" spans="1:8">
      <c r="D24" s="11" t="s">
        <v>18</v>
      </c>
      <c r="E24" s="16">
        <f>AVERAGE(E25:E30)</f>
        <v>1</v>
      </c>
    </row>
    <row r="25" spans="1:8">
      <c r="D25" s="8" t="s">
        <v>200</v>
      </c>
      <c r="E25" s="17">
        <v>1</v>
      </c>
    </row>
    <row r="26" spans="1:8">
      <c r="D26" s="8" t="s">
        <v>20</v>
      </c>
      <c r="E26" s="17">
        <v>1</v>
      </c>
    </row>
    <row r="27" spans="1:8">
      <c r="D27" s="8" t="s">
        <v>190</v>
      </c>
      <c r="E27" s="17">
        <v>1</v>
      </c>
    </row>
    <row r="28" spans="1:8">
      <c r="D28" s="8" t="s">
        <v>201</v>
      </c>
      <c r="E28" s="17">
        <v>1</v>
      </c>
    </row>
    <row r="29" spans="1:8">
      <c r="D29" s="8" t="s">
        <v>202</v>
      </c>
      <c r="E29" s="17">
        <v>1</v>
      </c>
    </row>
    <row r="30" spans="1:8">
      <c r="D30" s="8" t="s">
        <v>25</v>
      </c>
      <c r="E30" s="17">
        <v>1</v>
      </c>
    </row>
    <row r="31" spans="1:8">
      <c r="D31" s="11" t="s">
        <v>28</v>
      </c>
      <c r="E31" s="16">
        <f>AVERAGE(E32)</f>
        <v>1</v>
      </c>
    </row>
    <row r="32" spans="1:8">
      <c r="D32" s="15" t="s">
        <v>175</v>
      </c>
      <c r="E32" s="19">
        <v>1</v>
      </c>
    </row>
    <row r="33" spans="4:5">
      <c r="D33" s="11" t="s">
        <v>26</v>
      </c>
      <c r="E33" s="16">
        <f>AVERAGE(E34:E35)</f>
        <v>1</v>
      </c>
    </row>
    <row r="34" spans="4:5">
      <c r="D34" s="8" t="s">
        <v>18</v>
      </c>
      <c r="E34" s="17">
        <v>1</v>
      </c>
    </row>
    <row r="35" spans="4:5">
      <c r="D35" s="8" t="s">
        <v>28</v>
      </c>
      <c r="E35" s="17">
        <v>1</v>
      </c>
    </row>
    <row r="36" spans="4:5">
      <c r="D36" s="11" t="s">
        <v>27</v>
      </c>
      <c r="E36" s="16">
        <f>AVERAGE(E37:E38)</f>
        <v>1</v>
      </c>
    </row>
    <row r="37" spans="4:5">
      <c r="D37" s="8" t="s">
        <v>18</v>
      </c>
      <c r="E37" s="17">
        <v>1</v>
      </c>
    </row>
    <row r="38" spans="4:5">
      <c r="D38" s="8" t="s">
        <v>28</v>
      </c>
      <c r="E38" s="17">
        <v>1</v>
      </c>
    </row>
    <row r="39" spans="4:5">
      <c r="D39" s="14" t="s">
        <v>17</v>
      </c>
      <c r="E39" s="18">
        <f>AVERAGE(E40:E42)</f>
        <v>0.83333333333333337</v>
      </c>
    </row>
    <row r="40" spans="4:5">
      <c r="D40" s="8" t="s">
        <v>6</v>
      </c>
      <c r="E40" s="17">
        <v>1</v>
      </c>
    </row>
    <row r="41" spans="4:5">
      <c r="D41" s="8" t="s">
        <v>152</v>
      </c>
      <c r="E41" s="17">
        <v>0.5</v>
      </c>
    </row>
    <row r="42" spans="4:5">
      <c r="D42" s="15" t="s">
        <v>28</v>
      </c>
      <c r="E42" s="19">
        <v>1</v>
      </c>
    </row>
    <row r="43" spans="4:5">
      <c r="D43" s="11" t="s">
        <v>31</v>
      </c>
      <c r="E43" s="16">
        <f>AVERAGE(E44:E45)</f>
        <v>0.5</v>
      </c>
    </row>
    <row r="44" spans="4:5">
      <c r="D44" s="8" t="s">
        <v>32</v>
      </c>
      <c r="E44" s="17">
        <v>1</v>
      </c>
    </row>
    <row r="45" spans="4:5">
      <c r="D45" s="15" t="s">
        <v>33</v>
      </c>
      <c r="E45" s="19">
        <v>0</v>
      </c>
    </row>
    <row r="46" spans="4:5">
      <c r="D46" s="11" t="s">
        <v>34</v>
      </c>
      <c r="E46" s="16">
        <f>AVERAGE(E47:E48)</f>
        <v>0.25</v>
      </c>
    </row>
    <row r="47" spans="4:5">
      <c r="D47" s="8" t="s">
        <v>35</v>
      </c>
      <c r="E47" s="17">
        <v>0</v>
      </c>
    </row>
    <row r="48" spans="4:5">
      <c r="D48" s="8" t="s">
        <v>36</v>
      </c>
      <c r="E48" s="17">
        <v>0.5</v>
      </c>
    </row>
    <row r="49" spans="4:5">
      <c r="D49" s="11" t="s">
        <v>37</v>
      </c>
      <c r="E49" s="16">
        <v>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BAB52-1015-4CFA-B99B-0F964BBBE041}">
  <dimension ref="A1:C11"/>
  <sheetViews>
    <sheetView workbookViewId="0">
      <selection activeCell="A2" sqref="A2"/>
    </sheetView>
  </sheetViews>
  <sheetFormatPr defaultColWidth="9.140625" defaultRowHeight="15"/>
  <cols>
    <col min="1" max="1" width="15.5703125" bestFit="1" customWidth="1"/>
    <col min="2" max="2" width="24" customWidth="1"/>
    <col min="3" max="3" width="9.140625" style="31"/>
  </cols>
  <sheetData>
    <row r="1" spans="1:3">
      <c r="A1" s="28" t="s">
        <v>203</v>
      </c>
      <c r="B1" s="28" t="s">
        <v>204</v>
      </c>
      <c r="C1" s="28" t="s">
        <v>205</v>
      </c>
    </row>
    <row r="2" spans="1:3">
      <c r="A2" s="12" t="s">
        <v>206</v>
      </c>
      <c r="B2" s="12" t="s">
        <v>207</v>
      </c>
      <c r="C2" s="30">
        <v>4002</v>
      </c>
    </row>
    <row r="3" spans="1:3">
      <c r="A3" s="12" t="s">
        <v>208</v>
      </c>
      <c r="B3" s="12" t="s">
        <v>209</v>
      </c>
      <c r="C3" s="30">
        <v>5000</v>
      </c>
    </row>
    <row r="4" spans="1:3">
      <c r="A4" s="12"/>
      <c r="B4" s="12"/>
      <c r="C4" s="30"/>
    </row>
    <row r="5" spans="1:3">
      <c r="A5" s="12" t="s">
        <v>210</v>
      </c>
      <c r="B5" s="12" t="s">
        <v>211</v>
      </c>
      <c r="C5" s="30">
        <v>3000</v>
      </c>
    </row>
    <row r="6" spans="1:3">
      <c r="A6" s="12" t="s">
        <v>212</v>
      </c>
      <c r="B6" s="12" t="s">
        <v>213</v>
      </c>
      <c r="C6" s="30">
        <v>4022</v>
      </c>
    </row>
    <row r="7" spans="1:3">
      <c r="A7" s="12"/>
      <c r="B7" s="12"/>
      <c r="C7" s="30"/>
    </row>
    <row r="8" spans="1:3">
      <c r="A8" s="12" t="s">
        <v>214</v>
      </c>
      <c r="B8" s="12" t="s">
        <v>215</v>
      </c>
      <c r="C8" s="30">
        <v>3032</v>
      </c>
    </row>
    <row r="9" spans="1:3">
      <c r="A9" s="29" t="s">
        <v>216</v>
      </c>
      <c r="B9" s="12" t="s">
        <v>217</v>
      </c>
      <c r="C9" s="30">
        <v>4032</v>
      </c>
    </row>
    <row r="10" spans="1:3">
      <c r="A10" s="12"/>
      <c r="B10" s="12"/>
      <c r="C10" s="30"/>
    </row>
    <row r="11" spans="1:3">
      <c r="A11" s="12" t="s">
        <v>17</v>
      </c>
      <c r="B11" s="12" t="s">
        <v>218</v>
      </c>
      <c r="C11" s="30">
        <v>8090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d02b662-ade1-4cf7-bf26-be679913fb62">
      <Terms xmlns="http://schemas.microsoft.com/office/infopath/2007/PartnerControls"/>
    </lcf76f155ced4ddcb4097134ff3c332f>
    <TaxCatchAll xmlns="84fa194e-0137-44ef-89dc-10952973984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8EE512D5D09764999C4EC12EF459BEF" ma:contentTypeVersion="13" ma:contentTypeDescription="Crear nuevo documento." ma:contentTypeScope="" ma:versionID="08bc05b6cfb5e75917670a343944ba06">
  <xsd:schema xmlns:xsd="http://www.w3.org/2001/XMLSchema" xmlns:xs="http://www.w3.org/2001/XMLSchema" xmlns:p="http://schemas.microsoft.com/office/2006/metadata/properties" xmlns:ns2="ad02b662-ade1-4cf7-bf26-be679913fb62" xmlns:ns3="84fa194e-0137-44ef-89dc-10952973984b" targetNamespace="http://schemas.microsoft.com/office/2006/metadata/properties" ma:root="true" ma:fieldsID="9df5d084e6f93889d7142b95edf8f436" ns2:_="" ns3:_="">
    <xsd:import namespace="ad02b662-ade1-4cf7-bf26-be679913fb62"/>
    <xsd:import namespace="84fa194e-0137-44ef-89dc-1095297398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02b662-ade1-4cf7-bf26-be679913f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352c38f-6f6d-488c-9678-aae1f7b607b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fa194e-0137-44ef-89dc-10952973984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bb35b12-61fe-471b-838d-3a1fd286adfb}" ma:internalName="TaxCatchAll" ma:showField="CatchAllData" ma:web="84fa194e-0137-44ef-89dc-1095297398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8A9E87-6F06-4454-A76D-36425DA5847C}"/>
</file>

<file path=customXml/itemProps2.xml><?xml version="1.0" encoding="utf-8"?>
<ds:datastoreItem xmlns:ds="http://schemas.openxmlformats.org/officeDocument/2006/customXml" ds:itemID="{53763006-03AB-4BF1-98F8-B4EB115B6FD9}"/>
</file>

<file path=customXml/itemProps3.xml><?xml version="1.0" encoding="utf-8"?>
<ds:datastoreItem xmlns:ds="http://schemas.openxmlformats.org/officeDocument/2006/customXml" ds:itemID="{89FD8F8E-502A-4D7F-835A-B4974227C0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2025-10-01T15:33:31Z</dcterms:created>
  <dcterms:modified xsi:type="dcterms:W3CDTF">2025-12-15T14:45:46Z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0x01010078EE512D5D09764999C4EC12EF459BEF</vt:lpwstr>
  </property>
  <property fmtid="{D5CDD505-2E9C-101B-9397-08002B2CF9AE}" pid="3" name="MediaServiceImageTags">
    <vt:lpwstr/>
  </property>
</Properties>
</file>